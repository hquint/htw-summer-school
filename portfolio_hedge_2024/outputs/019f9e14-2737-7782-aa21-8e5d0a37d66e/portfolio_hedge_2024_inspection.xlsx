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221c590a2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151cc50f00497f"/>
    <x:sheet xmlns:r="http://schemas.openxmlformats.org/officeDocument/2006/relationships" name="Assumptions" sheetId="2" r:id="Rd9e8ac0d47dd4499"/>
    <x:sheet xmlns:r="http://schemas.openxmlformats.org/officeDocument/2006/relationships" name="Strategies" sheetId="3" r:id="R909b63b417594e2d"/>
    <x:sheet xmlns:r="http://schemas.openxmlformats.org/officeDocument/2006/relationships" name="Positions" sheetId="4" r:id="R4598cb5a4834476c"/>
    <x:sheet xmlns:r="http://schemas.openxmlformats.org/officeDocument/2006/relationships" name="Diagnostics" sheetId="5" r:id="R48e78c6cff414e41"/>
    <x:sheet xmlns:r="http://schemas.openxmlformats.org/officeDocument/2006/relationships" name="Checks" sheetId="6" r:id="Rdb782ab51c074edf"/>
  </x:sheets>
</x:workbook>
</file>

<file path=xl/comments1.xml><?xml version="1.0" encoding="utf-8"?>
<x:comments xmlns:x="http://schemas.openxmlformats.org/spreadsheetml/2006/main">
  <x:authors>
    <x:author>tc={2316A002-AD25-212E-D68F-9A06D94DFC95}</x:author>
    <x:author>tc={DF2813DE-7ED5-F089-CDFC-0D81BA20DDF6}</x:author>
  </x:authors>
  <x:commentList>
    <x:comment ref="C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Editable teaching assumption. Rerun the Python build after changing customer counts.</x:t>
        </x:r>
      </x:text>
    </x:comment>
    <x:comment ref="D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Annual consumption per customer, used to scale the normalized 1,000 MWh SLP.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"/>
    <x:numFmt numFmtId="201" formatCode="#,##0.0"/>
    <x:numFmt numFmtId="202" formatCode="0.0%"/>
    <x:numFmt numFmtId="203" formatCode="#,##0.00"/>
    <x:numFmt numFmtId="204" formatCode="€#,##0.00"/>
    <x:numFmt numFmtId="205" formatCode="€#,##0.00;[Red](€#,##0.00);-"/>
    <x:numFmt numFmtId="206" formatCode="0.000000"/>
    <x:numFmt numFmtId="207" formatCode="0"/>
    <x:numFmt numFmtId="208" formatCode="€#,##0.0000"/>
    <x:numFmt numFmtId="209" formatCode="€#,##0.000000"/>
    <x:numFmt numFmtId="210" formatCode="#,##0.000000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17324D"/>
      <x:name val="Carlito"/>
    </x:font>
    <x:font>
      <x:i/>
      <x:sz val="11"/>
      <x:color rgb="FF475569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double">
        <x:color rgb="FF17324D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2" fillId="3" borderId="1" xfId="0" applyNumberFormat="1" applyFont="1" applyFill="1" applyBorder="1"/>
    <x:xf numFmtId="201" fontId="2" fillId="3" borderId="1" xfId="0" applyNumberFormat="1" applyFont="1" applyFill="1" applyBorder="1"/>
    <x:xf numFmtId="200" fontId="3" fillId="0" borderId="1" xfId="0" applyNumberFormat="1" applyFont="1" applyFill="1" applyBorder="1"/>
    <x:xf numFmtId="202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200" fontId="4" fillId="4" borderId="2" xfId="0" applyNumberFormat="1" applyFont="1" applyFill="1" applyBorder="1"/>
    <x:xf numFmtId="202" fontId="4" fillId="4" borderId="2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2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/>
    <x:xf numFmtId="209" fontId="0" fillId="0" borderId="1" xfId="0" applyNumberFormat="1" applyFont="1" applyFill="1" applyBorder="1"/>
    <x:xf numFmtId="200" fontId="0" fillId="0" borderId="0" xfId="0" applyNumberFormat="1" applyFont="1" applyFill="1" applyBorder="1"/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4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4" fontId="8" fillId="0" borderId="1" xfId="0" applyNumberFormat="1" applyFont="1" applyFill="1" applyBorder="1"/>
    <x:xf numFmtId="206" fontId="8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200" fontId="9" fillId="0" borderId="1" xfId="0" applyNumberFormat="1" applyFont="1" applyFill="1" applyBorder="1"/>
    <x:xf numFmtId="204" fontId="9" fillId="0" borderId="1" xfId="0" applyNumberFormat="1" applyFont="1" applyFill="1" applyBorder="1"/>
    <x:xf numFmtId="206" fontId="9" fillId="0" borderId="1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b366d184a4a9d" /><Relationship Type="http://schemas.openxmlformats.org/officeDocument/2006/relationships/theme" Target="/xl/theme/theme1.xml" Id="Rf09f56538886431e" /><Relationship Type="http://schemas.openxmlformats.org/officeDocument/2006/relationships/sharedStrings" Target="/xl/sharedStrings.xml" Id="Rab353f26258c41d6" /><Relationship Type="http://schemas.openxmlformats.org/officeDocument/2006/relationships/worksheet" Target="/xl/worksheets/sheet1.xml" Id="R63151cc50f00497f" /><Relationship Type="http://schemas.openxmlformats.org/officeDocument/2006/relationships/worksheet" Target="/xl/worksheets/sheet2.xml" Id="Rd9e8ac0d47dd4499" /><Relationship Type="http://schemas.openxmlformats.org/officeDocument/2006/relationships/worksheet" Target="/xl/worksheets/sheet3.xml" Id="R909b63b417594e2d" /><Relationship Type="http://schemas.openxmlformats.org/officeDocument/2006/relationships/worksheet" Target="/xl/worksheets/sheet4.xml" Id="R4598cb5a4834476c" /><Relationship Type="http://schemas.openxmlformats.org/officeDocument/2006/relationships/worksheet" Target="/xl/worksheets/sheet5.xml" Id="R48e78c6cff414e41" /><Relationship Type="http://schemas.openxmlformats.org/officeDocument/2006/relationships/worksheet" Target="/xl/worksheets/sheet6.xml" Id="Rdb782ab51c074edf" /><Relationship Type="http://schemas.microsoft.com/office/2017/10/relationships/person" Target="/xl/persons/person.xml" Id="R81976ef8c33d48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e59b3d5b2f4058" /><Relationship Type="http://schemas.openxmlformats.org/officeDocument/2006/relationships/chart" Target="/xl/drawings/charts/chart2.xml" Id="R78dbeee7532c43a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Annual MWh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'Summary'!$A$15:$A$17</c:f>
              <c:strCache>
                <c:ptCount val="0"/>
              </c:strCache>
            </c:strRef>
          </c:cat>
          <c:val>
            <c:numRef>
              <c:f>'Summary'!$C$15:$C$17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Procurement price before imbalance (EUR/MWh)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Average EUR/MWh</c:v>
          </c:tx>
          <c:cat>
            <c:strRef>
              <c:f>'Summary'!$A$31:$A$33</c:f>
              <c:strCache>
                <c:ptCount val="0"/>
              </c:strCache>
            </c:strRef>
          </c:cat>
          <c:val>
            <c:numRef>
              <c:f>'Summary'!$B$31:$B$33</c:f>
              <c:numCache>
                <c:formatCode>€#,##0.00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e59b3d5b2f4058"/>
        </a:graphicData>
      </a:graphic>
    </xdr:graphicFrame>
    <xdr:clientData/>
  </xdr:twoCellAnchor>
  <xdr:twoCellAnchor>
    <xdr:from>
      <xdr:col>5</xdr:col>
      <xdr:colOff>0</xdr:colOff>
      <xdr:row>28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dbeee7532c43a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dex" id="{F7596C47-0A43-4EB7-9FBA-80781A8CB236}"/>
</xltc:personList>
</file>

<file path=xl/tables/table1.xml><?xml version="1.0" encoding="utf-8"?>
<x:table xmlns:x="http://schemas.openxmlformats.org/spreadsheetml/2006/main" id="1" name="StrategyInputs" displayName="StrategyInputs" ref="A1:I4" headerRowCount="1" totalsRowCount="0" totalsRowShown="0">
  <x:tableColumns count="9">
    <x:tableColumn id="1" name="Strategy"/>
    <x:tableColumn id="2" name="Forecast MWh"/>
    <x:tableColumn id="3" name="Hedge notional MWh"/>
    <x:tableColumn id="4" name="Fixed futures cost"/>
    <x:tableColumn id="5" name="DA shaping cost"/>
    <x:tableColumn id="6" name="Futures payoff"/>
    <x:tableColumn id="7" name="Residual RMSE MW"/>
    <x:tableColumn id="8" name="Overhedged QH share"/>
    <x:tableColumn id="9" name="Posi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dgePositions" displayName="HedgePositions" ref="A1:L15" headerRowCount="1" totalsRowCount="0" totalsRowShown="0">
  <x:tableColumns count="12">
    <x:tableColumn id="1" name="Strategy"/>
    <x:tableColumn id="2" name="Optimization period"/>
    <x:tableColumn id="3" name="Load type"/>
    <x:tableColumn id="4" name="Delivery period"/>
    <x:tableColumn id="5" name="Volume MW"/>
    <x:tableColumn id="6" name="Delivery hours"/>
    <x:tableColumn id="7" name="Hedged MWh"/>
    <x:tableColumn id="8" name="Futures EUR/MWh"/>
    <x:tableColumn id="9" name="Market activity"/>
    <x:tableColumn id="10" name="Contract cost source"/>
    <x:tableColumn id="11" name="HPFC value"/>
    <x:tableColumn id="12" name="Quote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timizerDiagnostics" displayName="OptimizerDiagnostics" ref="A1:J8" headerRowCount="1" totalsRowCount="0" totalsRowShown="0">
  <x:tableColumns count="10">
    <x:tableColumn id="1" name="Strategy"/>
    <x:tableColumn id="2" name="Period"/>
    <x:tableColumn id="3" name="Solver"/>
    <x:tableColumn id="4" name="Condition number"/>
    <x:tableColumn id="5" name="Objective sum squared MWh"/>
    <x:tableColumn id="6" name="Target HPFC value"/>
    <x:tableColumn id="7" name="Achieved HPFC value"/>
    <x:tableColumn id="8" name="Value difference"/>
    <x:tableColumn id="9" name="Minimum volume MW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rtfolioHedgeChecks" displayName="PortfolioHedgeChecks" ref="A1:G12" headerRowCount="1" totalsRowCount="0" totalsRowShown="0">
  <x:tableColumns count="7">
    <x:tableColumn id="1" name="Check"/>
    <x:tableColumn id="2" name="Actual"/>
    <x:tableColumn id="3" name="Expected"/>
    <x:tableColumn id="4" name="Difference"/>
    <x:tableColumn id="5" name="Tolerance"/>
    <x:tableColumn id="6" name="Status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2" dT="2026-07-26T13:39:58.736" personId="{F7596C47-0A43-4EB7-9FBA-80781A8CB236}" id="{2316A002-AD25-212E-D68F-9A06D94DFC95}">
    <xltc:text>Editable teaching assumption. Rerun the Python build after changing customer counts.</xltc:text>
  </xltc:threadedComment>
  <xltc:threadedComment ref="D2" dT="2026-07-26T13:39:58.738" personId="{F7596C47-0A43-4EB7-9FBA-80781A8CB236}" id="{DF2813DE-7ED5-F089-CDFC-0D81BA20DDF6}">
    <xltc:text>Annual consumption per customer, used to scale the normalized 1,000 MWh SLP.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9a99e1997340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98e020517ab48e0" /><Relationship Type="http://schemas.openxmlformats.org/officeDocument/2006/relationships/vmlDrawing" Target="/xl/drawings/vmldrawing.vml" Id="R05ba29078c814337" /><Relationship Type="http://schemas.microsoft.com/office/2017/10/relationships/threadedComment" Target="/xl/threadedcomments/threadedcomment.xml" Id="R3577db3ebe9f42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5fc80f1a86d41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c38c012a17c4e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2322537310140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d922654945c46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44" t="str">
        <x:v>HTW Summer School — portfolio hedge and Day-Ahead settlement</x:v>
      </x:c>
      <x:c r="B1" s="44"/>
      <x:c r="C1" s="44"/>
      <x:c r="D1" s="44"/>
      <x:c r="E1" s="44"/>
      <x:c r="F1" s="44"/>
      <x:c r="G1" s="44"/>
      <x:c r="H1" s="44"/>
      <x:c r="I1" s="44"/>
      <x:c r="J1" s="44"/>
    </x:row>
    <x:row r="3">
      <x:c r="A3" s="45" t="str">
        <x:v>Validation snapshot</x:v>
      </x:c>
      <x:c r="B3" s="45"/>
      <x:c r="D3" s="45" t="str">
        <x:v>Model boundary</x:v>
      </x:c>
      <x:c r="E3" s="45"/>
      <x:c r="F3" s="45"/>
    </x:row>
    <x:row r="4">
      <x:c r="A4" s="46" t="str">
        <x:v>Model status</x:v>
      </x:c>
      <x:c r="B4" s="48" t="str">
        <x:f>IF(COUNTIF('Checks'!$F$2:$F$12,"FAIL")=0,"OK","FAIL")</x:f>
        <x:v>OK</x:v>
      </x:c>
      <x:c r="D4" s="11" t="str">
        <x:v>Layer</x:v>
      </x:c>
      <x:c r="E4" s="11" t="str">
        <x:v>Included?</x:v>
      </x:c>
      <x:c r="F4" s="11" t="str">
        <x:v>Treatment</x:v>
      </x:c>
    </x:row>
    <x:row r="5">
      <x:c r="A5" s="46" t="str">
        <x:v>Passed checks</x:v>
      </x:c>
      <x:c r="B5" s="49" t="n">
        <x:f>COUNTIF('Checks'!$F$2:$F$12,"OK")</x:f>
        <x:v>11</x:v>
      </x:c>
      <x:c r="D5" s="53" t="str">
        <x:v>Forecast portfolio</x:v>
      </x:c>
      <x:c r="E5" s="53" t="str">
        <x:v>Yes</x:v>
      </x:c>
      <x:c r="F5" s="53" t="str">
        <x:v>HB / GB / LB SLP aggregation</x:v>
      </x:c>
    </x:row>
    <x:row r="6">
      <x:c r="A6" s="46" t="str">
        <x:v>Customers</x:v>
      </x:c>
      <x:c r="B6" s="49" t="n">
        <x:f>'Assumptions'!$C$6</x:f>
        <x:v>10220</x:v>
      </x:c>
      <x:c r="D6" s="53" t="str">
        <x:v>Futures hedge</x:v>
      </x:c>
      <x:c r="E6" s="53" t="str">
        <x:v>Yes</x:v>
      </x:c>
      <x:c r="F6" s="53" t="str">
        <x:v>Value-neutral hedge using HPFC</x:v>
      </x:c>
    </x:row>
    <x:row r="7">
      <x:c r="A7" s="46" t="str">
        <x:v>Forecast energy</x:v>
      </x:c>
      <x:c r="B7" s="49" t="n">
        <x:f>'Assumptions'!$E$6</x:f>
        <x:v>43000</x:v>
      </x:c>
      <x:c r="D7" s="53" t="str">
        <x:v>Day-Ahead</x:v>
      </x:c>
      <x:c r="E7" s="53" t="str">
        <x:v>Yes</x:v>
      </x:c>
      <x:c r="F7" s="53" t="str">
        <x:v>Forecast shape and financial payoff</x:v>
      </x:c>
    </x:row>
    <x:row r="8">
      <x:c r="A8" s="46" t="str">
        <x:v>Unhedged EUR/MWh</x:v>
      </x:c>
      <x:c r="B8" s="50" t="n">
        <x:f>'Strategies'!$K$2</x:f>
        <x:v>81.5512556042707</x:v>
      </x:c>
      <x:c r="D8" s="53" t="str">
        <x:v>Actual load</x:v>
      </x:c>
      <x:c r="E8" s="53" t="str">
        <x:v>No</x:v>
      </x:c>
      <x:c r="F8" s="53" t="str">
        <x:v>Deferred to imbalance module</x:v>
      </x:c>
    </x:row>
    <x:row r="9">
      <x:c r="A9" s="46" t="str">
        <x:v>CAL hedge saving</x:v>
      </x:c>
      <x:c r="B9" s="50" t="n">
        <x:f>'Strategies'!$L$3</x:f>
        <x:v>55737.34752355004</x:v>
      </x:c>
      <x:c r="D9" s="53" t="str">
        <x:v>reBAP imbalance</x:v>
      </x:c>
      <x:c r="E9" s="53" t="str">
        <x:v>No</x:v>
      </x:c>
      <x:c r="F9" s="53" t="str">
        <x:v>Deferred to imbalance module</x:v>
      </x:c>
    </x:row>
    <x:row r="10">
      <x:c r="A10" s="46" t="str">
        <x:v>Granular hedge saving</x:v>
      </x:c>
      <x:c r="B10" s="50" t="n">
        <x:f>'Strategies'!$L$4</x:f>
        <x:v>55196.64692710014</x:v>
      </x:c>
    </x:row>
    <x:row r="11">
      <x:c r="A11" s="46" t="str">
        <x:v>RMSE improvement</x:v>
      </x:c>
      <x:c r="B11" s="51" t="n">
        <x:f>'Strategies'!$G$3-'Strategies'!$G$4</x:f>
        <x:v>0.08133290999999998</x:v>
      </x:c>
    </x:row>
    <x:row r="13">
      <x:c r="A13" s="45" t="str">
        <x:v>Portfolio composition</x:v>
      </x:c>
      <x:c r="B13" s="45"/>
      <x:c r="C13" s="45"/>
    </x:row>
    <x:row r="14">
      <x:c r="A14" s="52" t="str">
        <x:v>Profile</x:v>
      </x:c>
      <x:c r="B14" s="52" t="str">
        <x:v>Customers</x:v>
      </x:c>
      <x:c r="C14" s="52" t="str">
        <x:v>Annual MWh</x:v>
      </x:c>
    </x:row>
    <x:row r="15">
      <x:c r="A15" s="54" t="str">
        <x:f>'Assumptions'!A2</x:f>
        <x:v>HB</x:v>
      </x:c>
      <x:c r="B15" s="55" t="n">
        <x:f>'Assumptions'!C2</x:f>
        <x:v>10000</x:v>
      </x:c>
      <x:c r="C15" s="55" t="n">
        <x:f>'Assumptions'!E2</x:f>
        <x:v>35000</x:v>
      </x:c>
    </x:row>
    <x:row r="16">
      <x:c r="A16" s="54" t="str">
        <x:f>'Assumptions'!A3</x:f>
        <x:v>GB</x:v>
      </x:c>
      <x:c r="B16" s="55" t="n">
        <x:f>'Assumptions'!C3</x:f>
        <x:v>200</x:v>
      </x:c>
      <x:c r="C16" s="55" t="n">
        <x:f>'Assumptions'!E3</x:f>
        <x:v>6000</x:v>
      </x:c>
    </x:row>
    <x:row r="17">
      <x:c r="A17" s="54" t="str">
        <x:f>'Assumptions'!A4</x:f>
        <x:v>LB</x:v>
      </x:c>
      <x:c r="B17" s="55" t="n">
        <x:f>'Assumptions'!C4</x:f>
        <x:v>20</x:v>
      </x:c>
      <x:c r="C17" s="55" t="n">
        <x:f>'Assumptions'!E4</x:f>
        <x:v>2000</x:v>
      </x:c>
    </x:row>
    <x:row r="29">
      <x:c r="A29" s="45" t="str">
        <x:v>Strategy comparison before imbalance</x:v>
      </x:c>
      <x:c r="B29" s="45"/>
      <x:c r="C29" s="45"/>
      <x:c r="D29" s="45"/>
    </x:row>
    <x:row r="30">
      <x:c r="A30" s="52" t="str">
        <x:v>Strategy</x:v>
      </x:c>
      <x:c r="B30" s="52" t="str">
        <x:v>Average EUR/MWh</x:v>
      </x:c>
      <x:c r="C30" s="52" t="str">
        <x:v>Saving EUR</x:v>
      </x:c>
      <x:c r="D30" s="52" t="str">
        <x:v>Residual RMSE MW</x:v>
      </x:c>
    </x:row>
    <x:row r="31">
      <x:c r="A31" s="54" t="str">
        <x:f>'Strategies'!A2</x:f>
        <x:v>UNHEDGED</x:v>
      </x:c>
      <x:c r="B31" s="56" t="n">
        <x:f>'Strategies'!K2</x:f>
        <x:v>81.5512556042707</x:v>
      </x:c>
      <x:c r="C31" s="56" t="n">
        <x:f>'Strategies'!L2</x:f>
        <x:v>0</x:v>
      </x:c>
      <x:c r="D31" s="57" t="n">
        <x:f>'Strategies'!G2</x:f>
        <x:v>5.27668656</x:v>
      </x:c>
    </x:row>
    <x:row r="32">
      <x:c r="A32" s="54" t="str">
        <x:f>'Strategies'!A3</x:f>
        <x:v>COARSE_CAL</x:v>
      </x:c>
      <x:c r="B32" s="56" t="n">
        <x:f>'Strategies'!K3</x:f>
        <x:v>80.25503822000209</x:v>
      </x:c>
      <x:c r="C32" s="56" t="n">
        <x:f>'Strategies'!L3</x:f>
        <x:v>55737.34752355004</x:v>
      </x:c>
      <x:c r="D32" s="57" t="n">
        <x:f>'Strategies'!G3</x:f>
        <x:v>1.7666214</x:v>
      </x:c>
    </x:row>
    <x:row r="33">
      <x:c r="A33" s="54" t="str">
        <x:f>'Strategies'!A4</x:f>
        <x:v>GRANULAR</x:v>
      </x:c>
      <x:c r="B33" s="56" t="n">
        <x:f>'Strategies'!K4</x:f>
        <x:v>80.26761265247767</x:v>
      </x:c>
      <x:c r="C33" s="56" t="n">
        <x:f>'Strategies'!L4</x:f>
        <x:v>55196.64692710014</x:v>
      </x:c>
      <x:c r="D33" s="57" t="n">
        <x:f>'Strategies'!G4</x:f>
        <x:v>1.68528849</x:v>
      </x:c>
    </x:row>
    <x:row r="42">
      <x:c r="A42" s="74" t="str">
        <x:v>Both hedge strategies are value-neutral when valued on the HPFC. The granular hedge improves forecast-shape fit; the synthetic futures make both hedges slightly cheaper than observed Day-Ahead procurement. Actual-load deviations and imbalance costs are intentionally excluded from this workbook.</x:v>
      </x:c>
      <x:c r="B42" s="75"/>
      <x:c r="C42" s="75"/>
      <x:c r="D42" s="75"/>
      <x:c r="E42" s="75"/>
      <x:c r="F42" s="75"/>
      <x:c r="G42" s="75"/>
      <x:c r="H42" s="75"/>
      <x:c r="I42" s="75"/>
      <x:c r="J42" s="76"/>
    </x:row>
    <x:row r="43">
      <x:c r="A43" s="77"/>
      <x:c r="B43" s="24"/>
      <x:c r="C43" s="24"/>
      <x:c r="D43" s="24"/>
      <x:c r="E43" s="24"/>
      <x:c r="F43" s="24"/>
      <x:c r="G43" s="24"/>
      <x:c r="H43" s="24"/>
      <x:c r="I43" s="24"/>
      <x:c r="J43" s="78"/>
    </x:row>
    <x:row r="44">
      <x:c r="A44" s="77"/>
      <x:c r="B44" s="24"/>
      <x:c r="C44" s="24"/>
      <x:c r="D44" s="24"/>
      <x:c r="E44" s="24"/>
      <x:c r="F44" s="24"/>
      <x:c r="G44" s="24"/>
      <x:c r="H44" s="24"/>
      <x:c r="I44" s="24"/>
      <x:c r="J44" s="78"/>
    </x:row>
    <x:row r="45">
      <x:c r="A45" s="79"/>
      <x:c r="B45" s="80"/>
      <x:c r="C45" s="80"/>
      <x:c r="D45" s="80"/>
      <x:c r="E45" s="80"/>
      <x:c r="F45" s="80"/>
      <x:c r="G45" s="80"/>
      <x:c r="H45" s="80"/>
      <x:c r="I45" s="80"/>
      <x:c r="J45" s="81"/>
    </x:row>
  </x:sheetData>
  <x:mergeCells>
    <x:mergeCell ref="A1:J1"/>
    <x:mergeCell ref="A3:B3"/>
    <x:mergeCell ref="D3:F3"/>
    <x:mergeCell ref="A13:C13"/>
    <x:mergeCell ref="A29:D29"/>
    <x:mergeCell ref="A42:J45"/>
  </x:mergeCells>
  <x:pageMargins left="0.7" right="0.7" top="0.75" bottom="0.75" header="0.3" footer="0.3"/>
  <x:drawing xmlns:r="http://schemas.openxmlformats.org/officeDocument/2006/relationships" r:id="Rcd9a99e1997340a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17" hidden="0" customWidth="1"/>
    <x:col min="7" max="7" width="17" hidden="0" customWidth="1"/>
  </x:cols>
  <x:sheetData>
    <x:row r="1">
      <x:c r="A1" s="11" t="str">
        <x:v>Profile</x:v>
      </x:c>
      <x:c r="B1" s="11" t="str">
        <x:v>Description</x:v>
      </x:c>
      <x:c r="C1" s="11" t="str">
        <x:v>Customers</x:v>
      </x:c>
      <x:c r="D1" s="11" t="str">
        <x:v>MWh / customer</x:v>
      </x:c>
      <x:c r="E1" s="11" t="str">
        <x:v>Annual portfolio MWh</x:v>
      </x:c>
      <x:c r="F1" s="11" t="str">
        <x:v>Customer share</x:v>
      </x:c>
      <x:c r="G1" s="11" t="str">
        <x:v>Energy share</x:v>
      </x:c>
    </x:row>
    <x:row r="2">
      <x:c r="A2" s="12" t="str">
        <x:v>HB</x:v>
      </x:c>
      <x:c r="B2" s="12" t="str">
        <x:v>Household / Haushalt</x:v>
      </x:c>
      <x:c r="C2" s="13" t="n">
        <x:v>10000</x:v>
      </x:c>
      <x:c r="D2" s="14" t="n">
        <x:v>3.5</x:v>
      </x:c>
      <x:c r="E2" s="15" t="n">
        <x:f>C2*D2</x:f>
        <x:v>35000</x:v>
      </x:c>
      <x:c r="F2" s="16" t="n">
        <x:f>C2/SUM($C$2:$C$4)</x:f>
        <x:v>0.9784735812133072</x:v>
      </x:c>
      <x:c r="G2" s="16" t="n">
        <x:f>E2/SUM($E$2:$E$4)</x:f>
        <x:v>0.813953488372093</x:v>
      </x:c>
    </x:row>
    <x:row r="3">
      <x:c r="A3" s="12" t="str">
        <x:v>GB</x:v>
      </x:c>
      <x:c r="B3" s="12" t="str">
        <x:v>General commercial / Gewerbe allgemein</x:v>
      </x:c>
      <x:c r="C3" s="13" t="n">
        <x:v>200</x:v>
      </x:c>
      <x:c r="D3" s="14" t="n">
        <x:v>30</x:v>
      </x:c>
      <x:c r="E3" s="15" t="n">
        <x:f>C3*D3</x:f>
        <x:v>6000</x:v>
      </x:c>
      <x:c r="F3" s="16" t="n">
        <x:f>C3/SUM($C$2:$C$4)</x:f>
        <x:v>0.019569471624266144</x:v>
      </x:c>
      <x:c r="G3" s="16" t="n">
        <x:f>E3/SUM($E$2:$E$4)</x:f>
        <x:v>0.13953488372093023</x:v>
      </x:c>
    </x:row>
    <x:row r="4">
      <x:c r="A4" s="12" t="str">
        <x:v>LB</x:v>
      </x:c>
      <x:c r="B4" s="12" t="str">
        <x:v>Agriculture / Landwirtschaft</x:v>
      </x:c>
      <x:c r="C4" s="13" t="n">
        <x:v>20</x:v>
      </x:c>
      <x:c r="D4" s="14" t="n">
        <x:v>100</x:v>
      </x:c>
      <x:c r="E4" s="15" t="n">
        <x:f>C4*D4</x:f>
        <x:v>2000</x:v>
      </x:c>
      <x:c r="F4" s="16" t="n">
        <x:f>C4/SUM($C$2:$C$4)</x:f>
        <x:v>0.0019569471624266144</x:v>
      </x:c>
      <x:c r="G4" s="16" t="n">
        <x:f>E4/SUM($E$2:$E$4)</x:f>
        <x:v>0.046511627906976744</x:v>
      </x:c>
    </x:row>
    <x:row r="6">
      <x:c r="A6" s="19" t="str">
        <x:v>Totals</x:v>
      </x:c>
      <x:c r="B6" s="19" t="str"/>
      <x:c r="C6" s="20" t="n">
        <x:f>SUM(C2:C4)</x:f>
        <x:v>10220</x:v>
      </x:c>
      <x:c r="D6" s="20"/>
      <x:c r="E6" s="20" t="n">
        <x:f>SUM(E2:E4)</x:f>
        <x:v>43000</x:v>
      </x:c>
      <x:c r="F6" s="21" t="n">
        <x:f>SUM(F2:F4)</x:f>
        <x:v>1</x:v>
      </x:c>
      <x:c r="G6" s="21" t="n">
        <x:f>SUM(G2:G4)</x:f>
        <x:v>1</x:v>
      </x:c>
    </x:row>
    <x:row r="8">
      <x:c r="A8" s="24" t="str">
        <x:v>For a complete scenario change, edit inputs/portfolio_assumptions.csv and rerun the Python build. The workbook formulas update portfolio totals but do not rerun the hedge optimizer.</x:v>
      </x:c>
      <x:c r="B8" s="24"/>
      <x:c r="C8" s="24"/>
      <x:c r="D8" s="24"/>
      <x:c r="E8" s="24"/>
      <x:c r="F8" s="24"/>
      <x:c r="G8" s="24"/>
    </x:row>
    <x:row r="9">
      <x:c r="A9" s="24"/>
      <x:c r="B9" s="24"/>
      <x:c r="C9" s="24"/>
      <x:c r="D9" s="24"/>
      <x:c r="E9" s="24"/>
      <x:c r="F9" s="24"/>
      <x:c r="G9" s="24"/>
    </x:row>
    <x:row r="10">
      <x:c r="A10" s="24"/>
      <x:c r="B10" s="24"/>
      <x:c r="C10" s="24"/>
      <x:c r="D10" s="24"/>
      <x:c r="E10" s="24"/>
      <x:c r="F10" s="24"/>
      <x:c r="G10" s="24"/>
    </x:row>
  </x:sheetData>
  <x:mergeCells>
    <x:mergeCell ref="A8:G10"/>
  </x:mergeCells>
  <x:pageMargins left="0.7" right="0.7" top="0.75" bottom="0.75" header="0.3" footer="0.3"/>
  <x:legacyDrawing xmlns:r="http://schemas.openxmlformats.org/officeDocument/2006/relationships" r:id="R05ba29078c81433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20" hidden="0" customWidth="1"/>
    <x:col min="9" max="9" width="13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31" customHeight="1">
      <x:c r="A1" s="25" t="str">
        <x:v>Strategy</x:v>
      </x:c>
      <x:c r="B1" s="25" t="str">
        <x:v>Forecast MWh</x:v>
      </x:c>
      <x:c r="C1" s="25" t="str">
        <x:v>Hedge notional MWh</x:v>
      </x:c>
      <x:c r="D1" s="25" t="str">
        <x:v>Fixed futures cost</x:v>
      </x:c>
      <x:c r="E1" s="25" t="str">
        <x:v>DA shaping cost</x:v>
      </x:c>
      <x:c r="F1" s="25" t="str">
        <x:v>Futures payoff</x:v>
      </x:c>
      <x:c r="G1" s="25" t="str">
        <x:v>Residual RMSE MW</x:v>
      </x:c>
      <x:c r="H1" s="25" t="str">
        <x:v>Overhedged QH share</x:v>
      </x:c>
      <x:c r="I1" s="25" t="str">
        <x:v>Positions</x:v>
      </x:c>
      <x:c r="J1" s="34" t="str">
        <x:v>Total cost</x:v>
      </x:c>
      <x:c r="K1" s="34" t="str">
        <x:v>Average EUR/MWh</x:v>
      </x:c>
      <x:c r="L1" s="34" t="str">
        <x:v>Saving vs unhedged</x:v>
      </x:c>
      <x:c r="M1" s="34" t="str">
        <x:v>Saving EUR/MWh</x:v>
      </x:c>
    </x:row>
    <x:row r="2">
      <x:c r="A2" t="str">
        <x:v>UNHEDGED</x:v>
      </x:c>
      <x:c r="B2" s="26" t="n">
        <x:v>43000</x:v>
      </x:c>
      <x:c r="C2" s="26" t="n">
        <x:v>0</x:v>
      </x:c>
      <x:c r="D2" s="27" t="n">
        <x:v>0</x:v>
      </x:c>
      <x:c r="E2" s="28" t="n">
        <x:v>3506703.99098364</x:v>
      </x:c>
      <x:c r="F2" s="27" t="n">
        <x:v>0</x:v>
      </x:c>
      <x:c r="G2" s="29" t="n">
        <x:v>5.27668656</x:v>
      </x:c>
      <x:c r="H2" s="30" t="n">
        <x:v>0</x:v>
      </x:c>
      <x:c r="I2" s="31" t="n">
        <x:v>0</x:v>
      </x:c>
      <x:c r="J2" s="27" t="n">
        <x:f>D2+E2</x:f>
        <x:v>3506703.99098364</x:v>
      </x:c>
      <x:c r="K2" s="27" t="n">
        <x:f>J2/B2</x:f>
        <x:v>81.5512556042707</x:v>
      </x:c>
      <x:c r="L2" s="27" t="n">
        <x:f>$J$2-J2</x:f>
        <x:v>0</x:v>
      </x:c>
      <x:c r="M2" s="35" t="n">
        <x:f>L2/B2</x:f>
        <x:v>0</x:v>
      </x:c>
    </x:row>
    <x:row r="3">
      <x:c r="A3" t="str">
        <x:v>COARSE_CAL</x:v>
      </x:c>
      <x:c r="B3" s="26" t="n">
        <x:v>43000</x:v>
      </x:c>
      <x:c r="C3" s="26" t="n">
        <x:v>44503.81862631</x:v>
      </x:c>
      <x:c r="D3" s="27" t="n">
        <x:v>3493701.73311063</x:v>
      </x:c>
      <x:c r="E3" s="28" t="n">
        <x:v>-42735.08965054</x:v>
      </x:c>
      <x:c r="F3" s="27" t="n">
        <x:v>55737.34752355</x:v>
      </x:c>
      <x:c r="G3" s="29" t="n">
        <x:v>1.7666214</x:v>
      </x:c>
      <x:c r="H3" s="30" t="n">
        <x:v>0.57001366</x:v>
      </x:c>
      <x:c r="I3" s="31" t="n">
        <x:v>2</x:v>
      </x:c>
      <x:c r="J3" s="27" t="n">
        <x:f>D3+E3</x:f>
        <x:v>3450966.64346009</x:v>
      </x:c>
      <x:c r="K3" s="27" t="n">
        <x:f>J3/B3</x:f>
        <x:v>80.25503822000209</x:v>
      </x:c>
      <x:c r="L3" s="27" t="n">
        <x:f>$J$2-J3</x:f>
        <x:v>55737.34752355004</x:v>
      </x:c>
      <x:c r="M3" s="35" t="n">
        <x:f>L3/B3</x:f>
        <x:v>1.2962173842686056</x:v>
      </x:c>
    </x:row>
    <x:row r="4">
      <x:c r="A4" t="str">
        <x:v>GRANULAR</x:v>
      </x:c>
      <x:c r="B4" s="26" t="n">
        <x:v>43000</x:v>
      </x:c>
      <x:c r="C4" s="26" t="n">
        <x:v>44079.17734146</x:v>
      </x:c>
      <x:c r="D4" s="27" t="n">
        <x:v>3493705.91681754</x:v>
      </x:c>
      <x:c r="E4" s="28" t="n">
        <x:v>-42198.572761</x:v>
      </x:c>
      <x:c r="F4" s="27" t="n">
        <x:v>55196.6469271</x:v>
      </x:c>
      <x:c r="G4" s="29" t="n">
        <x:v>1.68528849</x:v>
      </x:c>
      <x:c r="H4" s="30" t="n">
        <x:v>0.55040414</x:v>
      </x:c>
      <x:c r="I4" s="31" t="n">
        <x:v>12</x:v>
      </x:c>
      <x:c r="J4" s="27" t="n">
        <x:f>D4+E4</x:f>
        <x:v>3451507.3440565397</x:v>
      </x:c>
      <x:c r="K4" s="27" t="n">
        <x:f>J4/B4</x:f>
        <x:v>80.26761265247767</x:v>
      </x:c>
      <x:c r="L4" s="27" t="n">
        <x:f>$J$2-J4</x:f>
        <x:v>55196.64692710014</x:v>
      </x:c>
      <x:c r="M4" s="35" t="n">
        <x:f>L4/B4</x:f>
        <x:v>1.2836429517930266</x:v>
      </x:c>
    </x:row>
    <x:row r="7">
      <x:c r="A7" s="36" t="str">
        <x:v>Strategy</x:v>
      </x:c>
      <x:c r="B7" s="36" t="str">
        <x:v>Portfolio HPFC value</x:v>
      </x:c>
      <x:c r="C7" s="36" t="str">
        <x:v>Hedge HPFC value</x:v>
      </x:c>
      <x:c r="D7" s="36" t="str">
        <x:v>Value-neutral difference using HPFC</x:v>
      </x:c>
      <x:c r="E7" s="36" t="str">
        <x:v>Financial-view total</x:v>
      </x:c>
      <x:c r="F7" s="36" t="str">
        <x:v>Settlement difference</x:v>
      </x:c>
    </x:row>
    <x:row r="8">
      <x:c r="A8" s="12" t="str">
        <x:v>UNHEDGED</x:v>
      </x:c>
      <x:c r="B8" s="37" t="n">
        <x:v>3493705.91724914</x:v>
      </x:c>
      <x:c r="C8" s="37" t="n">
        <x:v>0</x:v>
      </x:c>
      <x:c r="D8" s="38" t="str">
        <x:f>IF(A8="UNHEDGED","",C8-B8)</x:f>
      </x:c>
      <x:c r="E8" s="38" t="n">
        <x:f>$J$2-F2</x:f>
        <x:v>3506703.99098364</x:v>
      </x:c>
      <x:c r="F8" s="38" t="n">
        <x:f>J2-E8</x:f>
        <x:v>0</x:v>
      </x:c>
    </x:row>
    <x:row r="9">
      <x:c r="A9" s="12" t="str">
        <x:v>COARSE_CAL</x:v>
      </x:c>
      <x:c r="B9" s="37" t="n">
        <x:v>3493705.91724914</x:v>
      </x:c>
      <x:c r="C9" s="37" t="n">
        <x:v>3493705.91724911</x:v>
      </x:c>
      <x:c r="D9" s="38" t="n">
        <x:f>IF(A9="UNHEDGED","",C9-B9)</x:f>
        <x:v>-2.9802322387695312e-8</x:v>
      </x:c>
      <x:c r="E9" s="38" t="n">
        <x:f>$J$2-F3</x:f>
        <x:v>3450966.64346009</x:v>
      </x:c>
      <x:c r="F9" s="38" t="n">
        <x:f>J3-E9</x:f>
        <x:v>0</x:v>
      </x:c>
    </x:row>
    <x:row r="10">
      <x:c r="A10" s="12" t="str">
        <x:v>GRANULAR</x:v>
      </x:c>
      <x:c r="B10" s="37" t="n">
        <x:v>3493705.91724914</x:v>
      </x:c>
      <x:c r="C10" s="37" t="n">
        <x:v>3493705.91724914</x:v>
      </x:c>
      <x:c r="D10" s="38" t="n">
        <x:f>IF(A10="UNHEDGED","",C10-B10)</x:f>
        <x:v>0</x:v>
      </x:c>
      <x:c r="E10" s="38" t="n">
        <x:f>$J$2-F4</x:f>
        <x:v>3451507.3440565397</x:v>
      </x:c>
      <x:c r="F10" s="38" t="n">
        <x:f>J4-E10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fc80f1a86d41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3" hidden="0" customWidth="1"/>
    <x:col min="4" max="4" width="17" hidden="0" customWidth="1"/>
    <x:col min="5" max="5" width="15" hidden="0" customWidth="1"/>
    <x:col min="6" max="6" width="17" hidden="0" customWidth="1"/>
    <x:col min="7" max="7" width="18" hidden="0" customWidth="1"/>
    <x:col min="8" max="8" width="20" hidden="0" customWidth="1"/>
    <x:col min="9" max="9" width="17" hidden="0" customWidth="1"/>
    <x:col min="10" max="10" width="23" hidden="0" customWidth="1"/>
    <x:col min="11" max="11" width="20" hidden="0" customWidth="1"/>
    <x:col min="12" max="12" width="15" hidden="0" customWidth="1"/>
    <x:col min="13" max="13" width="22" hidden="0" customWidth="1"/>
    <x:col min="14" max="14" width="22" hidden="0" customWidth="1"/>
  </x:cols>
  <x:sheetData>
    <x:row r="1" ht="31" customHeight="1">
      <x:c r="A1" s="25" t="str">
        <x:v>Strategy</x:v>
      </x:c>
      <x:c r="B1" s="25" t="str">
        <x:v>Optimization period</x:v>
      </x:c>
      <x:c r="C1" s="25" t="str">
        <x:v>Load type</x:v>
      </x:c>
      <x:c r="D1" s="25" t="str">
        <x:v>Delivery period</x:v>
      </x:c>
      <x:c r="E1" s="25" t="str">
        <x:v>Volume MW</x:v>
      </x:c>
      <x:c r="F1" s="25" t="str">
        <x:v>Delivery hours</x:v>
      </x:c>
      <x:c r="G1" s="25" t="str">
        <x:v>Hedged MWh</x:v>
      </x:c>
      <x:c r="H1" s="25" t="str">
        <x:v>Futures EUR/MWh</x:v>
      </x:c>
      <x:c r="I1" s="25" t="str">
        <x:v>Market activity</x:v>
      </x:c>
      <x:c r="J1" s="25" t="str">
        <x:v>Contract cost source</x:v>
      </x:c>
      <x:c r="K1" s="25" t="str">
        <x:v>HPFC value</x:v>
      </x:c>
      <x:c r="L1" s="25" t="str">
        <x:v>Quote date</x:v>
      </x:c>
      <x:c r="M1" s="34" t="str">
        <x:v>Contract cost formula</x:v>
      </x:c>
      <x:c r="N1" s="34" t="str">
        <x:v>Difference</x:v>
      </x:c>
    </x:row>
    <x:row r="2">
      <x:c r="A2" t="str">
        <x:v>COARSE_CAL</x:v>
      </x:c>
      <x:c r="B2" t="str">
        <x:v>CAL</x:v>
      </x:c>
      <x:c r="C2" t="str">
        <x:v>BASE</x:v>
      </x:c>
      <x:c r="D2" t="str">
        <x:v>CAL</x:v>
      </x:c>
      <x:c r="E2" s="29" t="n">
        <x:v>4.39197607</x:v>
      </x:c>
      <x:c r="F2" s="39" t="n">
        <x:v>8784</x:v>
      </x:c>
      <x:c r="G2" s="26" t="n">
        <x:v>38579.11776525</x:v>
      </x:c>
      <x:c r="H2" s="27" t="n">
        <x:v>77.26</x:v>
      </x:c>
      <x:c r="I2" s="39" t="n">
        <x:v>5000</x:v>
      </x:c>
      <x:c r="J2" s="27" t="n">
        <x:v>2980622.63854288</x:v>
      </x:c>
      <x:c r="K2" s="27" t="n">
        <x:v>2980600.59111729</x:v>
      </x:c>
      <x:c r="L2" t="str">
        <x:v>2023-09-29</x:v>
      </x:c>
      <x:c r="M2" s="40" t="n">
        <x:f>E2*F2*H2</x:f>
        <x:v>2980622.641141469</x:v>
      </x:c>
      <x:c r="N2" s="40" t="n">
        <x:f>M2-J2</x:f>
        <x:v>0.0025985892862081528</x:v>
      </x:c>
    </x:row>
    <x:row r="3">
      <x:c r="A3" t="str">
        <x:v>COARSE_CAL</x:v>
      </x:c>
      <x:c r="B3" t="str">
        <x:v>CAL</x:v>
      </x:c>
      <x:c r="C3" t="str">
        <x:v>PEAK</x:v>
      </x:c>
      <x:c r="D3" t="str">
        <x:v>CAL</x:v>
      </x:c>
      <x:c r="E3" s="29" t="n">
        <x:v>1.88444684</x:v>
      </x:c>
      <x:c r="F3" s="39" t="n">
        <x:v>3144</x:v>
      </x:c>
      <x:c r="G3" s="26" t="n">
        <x:v>5924.70086106</x:v>
      </x:c>
      <x:c r="H3" s="27" t="n">
        <x:v>86.6</x:v>
      </x:c>
      <x:c r="I3" s="39" t="n">
        <x:v>1400</x:v>
      </x:c>
      <x:c r="J3" s="27" t="n">
        <x:v>513079.09456775</x:v>
      </x:c>
      <x:c r="K3" s="27" t="n">
        <x:v>513105.32613182</x:v>
      </x:c>
      <x:c r="L3" t="str">
        <x:v>2023-09-29</x:v>
      </x:c>
      <x:c r="M3" s="40" t="n">
        <x:f>E3*F3*H3</x:f>
        <x:v>513079.094905536</x:v>
      </x:c>
      <x:c r="N3" s="40" t="n">
        <x:f>M3-J3</x:f>
        <x:v>0.00033778598299250007</x:v>
      </x:c>
    </x:row>
    <x:row r="4">
      <x:c r="A4" t="str">
        <x:v>GRANULAR</x:v>
      </x:c>
      <x:c r="B4" t="str">
        <x:v>M01</x:v>
      </x:c>
      <x:c r="C4" t="str">
        <x:v>BASE</x:v>
      </x:c>
      <x:c r="D4" t="str">
        <x:v>M01</x:v>
      </x:c>
      <x:c r="E4" s="29" t="n">
        <x:v>5.04365462</x:v>
      </x:c>
      <x:c r="F4" s="39" t="n">
        <x:v>744</x:v>
      </x:c>
      <x:c r="G4" s="26" t="n">
        <x:v>3752.47903506</x:v>
      </x:c>
      <x:c r="H4" s="27" t="n">
        <x:v>75.32</x:v>
      </x:c>
      <x:c r="I4" s="39" t="n">
        <x:v>900</x:v>
      </x:c>
      <x:c r="J4" s="27" t="n">
        <x:v>282636.72092076</x:v>
      </x:c>
      <x:c r="K4" s="27" t="n">
        <x:v>282636.7212486</x:v>
      </x:c>
      <x:c r="L4" t="str">
        <x:v>2023-09-29</x:v>
      </x:c>
      <x:c r="M4" s="40" t="n">
        <x:f>E4*F4*H4</x:f>
        <x:v>282636.72108792956</x:v>
      </x:c>
      <x:c r="N4" s="40" t="n">
        <x:f>M4-J4</x:f>
        <x:v>0.00016716954996809363</x:v>
      </x:c>
    </x:row>
    <x:row r="5">
      <x:c r="A5" t="str">
        <x:v>GRANULAR</x:v>
      </x:c>
      <x:c r="B5" t="str">
        <x:v>M01</x:v>
      </x:c>
      <x:c r="C5" t="str">
        <x:v>PEAK</x:v>
      </x:c>
      <x:c r="D5" t="str">
        <x:v>M01</x:v>
      </x:c>
      <x:c r="E5" s="29" t="n">
        <x:v>2.33097587</x:v>
      </x:c>
      <x:c r="F5" s="39" t="n">
        <x:v>276</x:v>
      </x:c>
      <x:c r="G5" s="26" t="n">
        <x:v>643.34934003</x:v>
      </x:c>
      <x:c r="H5" s="27" t="n">
        <x:v>88.68</x:v>
      </x:c>
      <x:c r="I5" s="39" t="n">
        <x:v>252</x:v>
      </x:c>
      <x:c r="J5" s="27" t="n">
        <x:v>57052.21947348</x:v>
      </x:c>
      <x:c r="K5" s="27" t="n">
        <x:v>57052.21952709</x:v>
      </x:c>
      <x:c r="L5" t="str">
        <x:v>2023-09-29</x:v>
      </x:c>
      <x:c r="M5" s="40" t="n">
        <x:f>E5*F5*H5</x:f>
        <x:v>57052.2194818416</x:v>
      </x:c>
      <x:c r="N5" s="40" t="n">
        <x:f>M5-J5</x:f>
        <x:v>0.000008361603249795735</x:v>
      </x:c>
    </x:row>
    <x:row r="6">
      <x:c r="A6" t="str">
        <x:v>GRANULAR</x:v>
      </x:c>
      <x:c r="B6" t="str">
        <x:v>M02</x:v>
      </x:c>
      <x:c r="C6" t="str">
        <x:v>BASE</x:v>
      </x:c>
      <x:c r="D6" t="str">
        <x:v>M02</x:v>
      </x:c>
      <x:c r="E6" s="29" t="n">
        <x:v>4.93309141</x:v>
      </x:c>
      <x:c r="F6" s="39" t="n">
        <x:v>696</x:v>
      </x:c>
      <x:c r="G6" s="26" t="n">
        <x:v>3433.43161818</x:v>
      </x:c>
      <x:c r="H6" s="27" t="n">
        <x:v>60.09</x:v>
      </x:c>
      <x:c r="I6" s="39" t="n">
        <x:v>800</x:v>
      </x:c>
      <x:c r="J6" s="27" t="n">
        <x:v>206314.90593629</x:v>
      </x:c>
      <x:c r="K6" s="27" t="n">
        <x:v>206314.90579323</x:v>
      </x:c>
      <x:c r="L6" t="str">
        <x:v>2023-09-29</x:v>
      </x:c>
      <x:c r="M6" s="40" t="n">
        <x:f>E6*F6*H6</x:f>
        <x:v>206314.9061275224</x:v>
      </x:c>
      <x:c r="N6" s="40" t="n">
        <x:f>M6-J6</x:f>
        <x:v>0.00019123242236673832</x:v>
      </x:c>
    </x:row>
    <x:row r="7">
      <x:c r="A7" t="str">
        <x:v>GRANULAR</x:v>
      </x:c>
      <x:c r="B7" t="str">
        <x:v>M02</x:v>
      </x:c>
      <x:c r="C7" t="str">
        <x:v>PEAK</x:v>
      </x:c>
      <x:c r="D7" t="str">
        <x:v>M02</x:v>
      </x:c>
      <x:c r="E7" s="29" t="n">
        <x:v>2.21722962</x:v>
      </x:c>
      <x:c r="F7" s="39" t="n">
        <x:v>252</x:v>
      </x:c>
      <x:c r="G7" s="26" t="n">
        <x:v>558.74186457</x:v>
      </x:c>
      <x:c r="H7" s="27" t="n">
        <x:v>70.59</x:v>
      </x:c>
      <x:c r="I7" s="39" t="n">
        <x:v>224</x:v>
      </x:c>
      <x:c r="J7" s="27" t="n">
        <x:v>39441.58822006</x:v>
      </x:c>
      <x:c r="K7" s="27" t="n">
        <x:v>39441.58822006</x:v>
      </x:c>
      <x:c r="L7" t="str">
        <x:v>2023-09-29</x:v>
      </x:c>
      <x:c r="M7" s="40" t="n">
        <x:f>E7*F7*H7</x:f>
        <x:v>39441.588196701596</x:v>
      </x:c>
      <x:c r="N7" s="40" t="n">
        <x:f>M7-J7</x:f>
        <x:v>-0.000023358406906481832</x:v>
      </x:c>
    </x:row>
    <x:row r="8">
      <x:c r="A8" t="str">
        <x:v>GRANULAR</x:v>
      </x:c>
      <x:c r="B8" t="str">
        <x:v>M03</x:v>
      </x:c>
      <x:c r="C8" t="str">
        <x:v>BASE</x:v>
      </x:c>
      <x:c r="D8" t="str">
        <x:v>M03</x:v>
      </x:c>
      <x:c r="E8" s="29" t="n">
        <x:v>4.65088745</x:v>
      </x:c>
      <x:c r="F8" s="39" t="n">
        <x:v>743</x:v>
      </x:c>
      <x:c r="G8" s="26" t="n">
        <x:v>3455.60937614</x:v>
      </x:c>
      <x:c r="H8" s="27" t="n">
        <x:v>63.45</x:v>
      </x:c>
      <x:c r="I8" s="39" t="n">
        <x:v>650</x:v>
      </x:c>
      <x:c r="J8" s="27" t="n">
        <x:v>219258.41491624</x:v>
      </x:c>
      <x:c r="K8" s="27" t="n">
        <x:v>219258.41495344</x:v>
      </x:c>
      <x:c r="L8" t="str">
        <x:v>2023-09-29</x:v>
      </x:c>
      <x:c r="M8" s="40" t="n">
        <x:f>E8*F8*H8</x:f>
        <x:v>219258.41486595751</x:v>
      </x:c>
      <x:c r="N8" s="40" t="n">
        <x:f>M8-J8</x:f>
        <x:v>-0.00005028248415328562</x:v>
      </x:c>
    </x:row>
    <x:row r="9">
      <x:c r="A9" t="str">
        <x:v>GRANULAR</x:v>
      </x:c>
      <x:c r="B9" t="str">
        <x:v>M03</x:v>
      </x:c>
      <x:c r="C9" t="str">
        <x:v>PEAK</x:v>
      </x:c>
      <x:c r="D9" t="str">
        <x:v>M03</x:v>
      </x:c>
      <x:c r="E9" s="29" t="n">
        <x:v>1.97137323</x:v>
      </x:c>
      <x:c r="F9" s="39" t="n">
        <x:v>252</x:v>
      </x:c>
      <x:c r="G9" s="26" t="n">
        <x:v>496.78605396</x:v>
      </x:c>
      <x:c r="H9" s="27" t="n">
        <x:v>72.79</x:v>
      </x:c>
      <x:c r="I9" s="39" t="n">
        <x:v>182</x:v>
      </x:c>
      <x:c r="J9" s="27" t="n">
        <x:v>36161.05686738</x:v>
      </x:c>
      <x:c r="K9" s="27" t="n">
        <x:v>36161.05686738</x:v>
      </x:c>
      <x:c r="L9" t="str">
        <x:v>2023-09-29</x:v>
      </x:c>
      <x:c r="M9" s="40" t="n">
        <x:f>E9*F9*H9</x:f>
        <x:v>36161.056867748404</x:v>
      </x:c>
      <x:c r="N9" s="40" t="n">
        <x:f>M9-J9</x:f>
        <x:v>3.684035618789494e-7</x:v>
      </x:c>
    </x:row>
    <x:row r="10">
      <x:c r="A10" t="str">
        <x:v>GRANULAR</x:v>
      </x:c>
      <x:c r="B10" t="str">
        <x:v>Q2</x:v>
      </x:c>
      <x:c r="C10" t="str">
        <x:v>BASE</x:v>
      </x:c>
      <x:c r="D10" t="str">
        <x:v>Q2</x:v>
      </x:c>
      <x:c r="E10" s="29" t="n">
        <x:v>3.99998484</x:v>
      </x:c>
      <x:c r="F10" s="39" t="n">
        <x:v>2184</x:v>
      </x:c>
      <x:c r="G10" s="26" t="n">
        <x:v>8735.9668822</x:v>
      </x:c>
      <x:c r="H10" s="27" t="n">
        <x:v>66.23</x:v>
      </x:c>
      <x:c r="I10" s="39" t="n">
        <x:v>2200</x:v>
      </x:c>
      <x:c r="J10" s="27" t="n">
        <x:v>578583.08660834</x:v>
      </x:c>
      <x:c r="K10" s="27" t="n">
        <x:v>578583.08654434</x:v>
      </x:c>
      <x:c r="L10" t="str">
        <x:v>2023-09-29</x:v>
      </x:c>
      <x:c r="M10" s="40" t="n">
        <x:f>E10*F10*H10</x:f>
        <x:v>578583.087161789</x:v>
      </x:c>
      <x:c r="N10" s="40" t="n">
        <x:f>M10-J10</x:f>
        <x:v>0.0005534489173442125</x:v>
      </x:c>
    </x:row>
    <x:row r="11">
      <x:c r="A11" t="str">
        <x:v>GRANULAR</x:v>
      </x:c>
      <x:c r="B11" t="str">
        <x:v>Q2</x:v>
      </x:c>
      <x:c r="C11" t="str">
        <x:v>PEAK</x:v>
      </x:c>
      <x:c r="D11" t="str">
        <x:v>Q2</x:v>
      </x:c>
      <x:c r="E11" s="29" t="n">
        <x:v>1.67823016</x:v>
      </x:c>
      <x:c r="F11" s="39" t="n">
        <x:v>780</x:v>
      </x:c>
      <x:c r="G11" s="26" t="n">
        <x:v>1309.01952324</x:v>
      </x:c>
      <x:c r="H11" s="27" t="n">
        <x:v>64.76</x:v>
      </x:c>
      <x:c r="I11" s="39" t="n">
        <x:v>616</x:v>
      </x:c>
      <x:c r="J11" s="27" t="n">
        <x:v>84772.10432524</x:v>
      </x:c>
      <x:c r="K11" s="27" t="n">
        <x:v>84772.10426315</x:v>
      </x:c>
      <x:c r="L11" t="str">
        <x:v>2023-09-29</x:v>
      </x:c>
      <x:c r="M11" s="40" t="n">
        <x:f>E11*F11*H11</x:f>
        <x:v>84772.10442604801</x:v>
      </x:c>
      <x:c r="N11" s="40" t="n">
        <x:f>M11-J11</x:f>
        <x:v>0.00010080801439471543</x:v>
      </x:c>
    </x:row>
    <x:row r="12">
      <x:c r="A12" t="str">
        <x:v>GRANULAR</x:v>
      </x:c>
      <x:c r="B12" t="str">
        <x:v>Q3</x:v>
      </x:c>
      <x:c r="C12" t="str">
        <x:v>BASE</x:v>
      </x:c>
      <x:c r="D12" t="str">
        <x:v>Q3</x:v>
      </x:c>
      <x:c r="E12" s="29" t="n">
        <x:v>3.8482501</x:v>
      </x:c>
      <x:c r="F12" s="39" t="n">
        <x:v>2208</x:v>
      </x:c>
      <x:c r="G12" s="26" t="n">
        <x:v>8496.93620993</x:v>
      </x:c>
      <x:c r="H12" s="27" t="n">
        <x:v>74.74</x:v>
      </x:c>
      <x:c r="I12" s="39" t="n">
        <x:v>1600</x:v>
      </x:c>
      <x:c r="J12" s="27" t="n">
        <x:v>635061.0123298</x:v>
      </x:c>
      <x:c r="K12" s="27" t="n">
        <x:v>635061.01227977</x:v>
      </x:c>
      <x:c r="L12" t="str">
        <x:v>2023-09-29</x:v>
      </x:c>
      <x:c r="M12" s="40" t="n">
        <x:f>E12*F12*H12</x:f>
        <x:v>635061.0131425919</x:v>
      </x:c>
      <x:c r="N12" s="40" t="n">
        <x:f>M12-J12</x:f>
        <x:v>0.0008127918699756265</x:v>
      </x:c>
    </x:row>
    <x:row r="13">
      <x:c r="A13" t="str">
        <x:v>GRANULAR</x:v>
      </x:c>
      <x:c r="B13" t="str">
        <x:v>Q3</x:v>
      </x:c>
      <x:c r="C13" t="str">
        <x:v>PEAK</x:v>
      </x:c>
      <x:c r="D13" t="str">
        <x:v>Q3</x:v>
      </x:c>
      <x:c r="E13" s="29" t="n">
        <x:v>1.54121416</x:v>
      </x:c>
      <x:c r="F13" s="39" t="n">
        <x:v>792</x:v>
      </x:c>
      <x:c r="G13" s="26" t="n">
        <x:v>1220.64161421</x:v>
      </x:c>
      <x:c r="H13" s="27" t="n">
        <x:v>69.07</x:v>
      </x:c>
      <x:c r="I13" s="39" t="n">
        <x:v>448</x:v>
      </x:c>
      <x:c r="J13" s="27" t="n">
        <x:v>84309.71629319</x:v>
      </x:c>
      <x:c r="K13" s="27" t="n">
        <x:v>84309.71632556</x:v>
      </x:c>
      <x:c r="L13" t="str">
        <x:v>2023-09-29</x:v>
      </x:c>
      <x:c r="M13" s="40" t="n">
        <x:f>E13*F13*H13</x:f>
        <x:v>84309.71632871039</x:v>
      </x:c>
      <x:c r="N13" s="40" t="n">
        <x:f>M13-J13</x:f>
        <x:v>0.00003552039561327547</x:v>
      </x:c>
    </x:row>
    <x:row r="14">
      <x:c r="A14" t="str">
        <x:v>GRANULAR</x:v>
      </x:c>
      <x:c r="B14" t="str">
        <x:v>Q4</x:v>
      </x:c>
      <x:c r="C14" t="str">
        <x:v>BASE</x:v>
      </x:c>
      <x:c r="D14" t="str">
        <x:v>Q4</x:v>
      </x:c>
      <x:c r="E14" s="29" t="n">
        <x:v>4.65614877</x:v>
      </x:c>
      <x:c r="F14" s="39" t="n">
        <x:v>2209</x:v>
      </x:c>
      <x:c r="G14" s="26" t="n">
        <x:v>10285.4326409</x:v>
      </x:c>
      <x:c r="H14" s="27" t="n">
        <x:v>101.39</x:v>
      </x:c>
      <x:c r="I14" s="39" t="n">
        <x:v>1400</x:v>
      </x:c>
      <x:c r="J14" s="27" t="n">
        <x:v>1042840.01546106</x:v>
      </x:c>
      <x:c r="K14" s="27" t="n">
        <x:v>1042840.01570318</x:v>
      </x:c>
      <x:c r="L14" t="str">
        <x:v>2023-09-29</x:v>
      </x:c>
      <x:c r="M14" s="40" t="n">
        <x:f>E14*F14*H14</x:f>
        <x:v>1042840.0146527727</x:v>
      </x:c>
      <x:c r="N14" s="40" t="n">
        <x:f>M14-J14</x:f>
        <x:v>-0.000808287295512855</x:v>
      </x:c>
    </x:row>
    <x:row r="15">
      <x:c r="A15" t="str">
        <x:v>GRANULAR</x:v>
      </x:c>
      <x:c r="B15" t="str">
        <x:v>Q4</x:v>
      </x:c>
      <x:c r="C15" t="str">
        <x:v>PEAK</x:v>
      </x:c>
      <x:c r="D15" t="str">
        <x:v>Q4</x:v>
      </x:c>
      <x:c r="E15" s="29" t="n">
        <x:v>2.13482725</x:v>
      </x:c>
      <x:c r="F15" s="39" t="n">
        <x:v>792</x:v>
      </x:c>
      <x:c r="G15" s="26" t="n">
        <x:v>1690.78318305</x:v>
      </x:c>
      <x:c r="H15" s="27" t="n">
        <x:v>134.42</x:v>
      </x:c>
      <x:c r="I15" s="39" t="n">
        <x:v>392</x:v>
      </x:c>
      <x:c r="J15" s="27" t="n">
        <x:v>227275.0754657</x:v>
      </x:c>
      <x:c r="K15" s="27" t="n">
        <x:v>227275.07552334</x:v>
      </x:c>
      <x:c r="L15" t="str">
        <x:v>2023-09-29</x:v>
      </x:c>
      <x:c r="M15" s="40" t="n">
        <x:f>E15*F15*H15</x:f>
        <x:v>227275.07532443997</x:v>
      </x:c>
      <x:c r="N15" s="40" t="n">
        <x:f>M15-J15</x:f>
        <x:v>-0.0001412600395269692</x:v>
      </x:c>
    </x:row>
  </x:sheetData>
  <x:conditionalFormatting sqref="I2:I15">
    <x:cfRule type="cellIs" dxfId="0" priority="1" operator="greaterThan">
      <x:formula>100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38c012a17c4e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8" hidden="0" customWidth="1"/>
    <x:col min="4" max="4" width="19" hidden="0" customWidth="1"/>
    <x:col min="5" max="5" width="26" hidden="0" customWidth="1"/>
    <x:col min="6" max="6" width="21" hidden="0" customWidth="1"/>
    <x:col min="7" max="7" width="22" hidden="0" customWidth="1"/>
    <x:col min="8" max="8" width="20" hidden="0" customWidth="1"/>
    <x:col min="9" max="9" width="20" hidden="0" customWidth="1"/>
    <x:col min="10" max="10" width="12" hidden="0" customWidth="1"/>
  </x:cols>
  <x:sheetData>
    <x:row r="1" ht="31" customHeight="1">
      <x:c r="A1" s="25" t="str">
        <x:v>Strategy</x:v>
      </x:c>
      <x:c r="B1" s="25" t="str">
        <x:v>Period</x:v>
      </x:c>
      <x:c r="C1" s="25" t="str">
        <x:v>Solver</x:v>
      </x:c>
      <x:c r="D1" s="25" t="str">
        <x:v>Condition number</x:v>
      </x:c>
      <x:c r="E1" s="25" t="str">
        <x:v>Objective sum squared MWh</x:v>
      </x:c>
      <x:c r="F1" s="25" t="str">
        <x:v>Target HPFC value</x:v>
      </x:c>
      <x:c r="G1" s="25" t="str">
        <x:v>Achieved HPFC value</x:v>
      </x:c>
      <x:c r="H1" s="25" t="str">
        <x:v>Value difference</x:v>
      </x:c>
      <x:c r="I1" s="25" t="str">
        <x:v>Minimum volume MW</x:v>
      </x:c>
      <x:c r="J1" s="25" t="str">
        <x:v>Status</x:v>
      </x:c>
    </x:row>
    <x:row r="2">
      <x:c r="A2" t="str">
        <x:v>COARSE_CAL</x:v>
      </x:c>
      <x:c r="B2" t="str">
        <x:v>CAL</x:v>
      </x:c>
      <x:c r="C2" t="str">
        <x:v>ANALYTIC_KKT</x:v>
      </x:c>
      <x:c r="D2" s="26" t="n">
        <x:v>1671.46174862</x:v>
      </x:c>
      <x:c r="E2" s="41" t="n">
        <x:v>6853.60877866</x:v>
      </x:c>
      <x:c r="F2" s="27" t="n">
        <x:v>3493705.91724914</x:v>
      </x:c>
      <x:c r="G2" s="27" t="n">
        <x:v>3493705.91724914</x:v>
      </x:c>
      <x:c r="H2" s="40" t="n">
        <x:v>0</x:v>
      </x:c>
      <x:c r="I2" s="29" t="n">
        <x:v>1.88444684</x:v>
      </x:c>
      <x:c r="J2" t="str">
        <x:v>OK</x:v>
      </x:c>
    </x:row>
    <x:row r="3">
      <x:c r="A3" t="str">
        <x:v>GRANULAR</x:v>
      </x:c>
      <x:c r="B3" t="str">
        <x:v>M01</x:v>
      </x:c>
      <x:c r="C3" t="str">
        <x:v>ANALYTIC_KKT</x:v>
      </x:c>
      <x:c r="D3" s="26" t="n">
        <x:v>1650.02556492</x:v>
      </x:c>
      <x:c r="E3" s="41" t="n">
        <x:v>787.59060367</x:v>
      </x:c>
      <x:c r="F3" s="27" t="n">
        <x:v>339688.94077569</x:v>
      </x:c>
      <x:c r="G3" s="27" t="n">
        <x:v>339688.94077569</x:v>
      </x:c>
      <x:c r="H3" s="40" t="n">
        <x:v>0</x:v>
      </x:c>
      <x:c r="I3" s="29" t="n">
        <x:v>2.33097587</x:v>
      </x:c>
      <x:c r="J3" t="str">
        <x:v>OK</x:v>
      </x:c>
    </x:row>
    <x:row r="4">
      <x:c r="A4" t="str">
        <x:v>GRANULAR</x:v>
      </x:c>
      <x:c r="B4" t="str">
        <x:v>M02</x:v>
      </x:c>
      <x:c r="C4" t="str">
        <x:v>ANALYTIC_KKT</x:v>
      </x:c>
      <x:c r="D4" s="26" t="n">
        <x:v>1315.61258987</x:v>
      </x:c>
      <x:c r="E4" s="41" t="n">
        <x:v>706.14970732</x:v>
      </x:c>
      <x:c r="F4" s="27" t="n">
        <x:v>245756.49401329</x:v>
      </x:c>
      <x:c r="G4" s="27" t="n">
        <x:v>245756.49401329</x:v>
      </x:c>
      <x:c r="H4" s="40" t="n">
        <x:v>0</x:v>
      </x:c>
      <x:c r="I4" s="29" t="n">
        <x:v>2.21722962</x:v>
      </x:c>
      <x:c r="J4" t="str">
        <x:v>OK</x:v>
      </x:c>
    </x:row>
    <x:row r="5">
      <x:c r="A5" t="str">
        <x:v>GRANULAR</x:v>
      </x:c>
      <x:c r="B5" t="str">
        <x:v>M03</x:v>
      </x:c>
      <x:c r="C5" t="str">
        <x:v>ANALYTIC_KKT</x:v>
      </x:c>
      <x:c r="D5" s="26" t="n">
        <x:v>1386.53176982</x:v>
      </x:c>
      <x:c r="E5" s="41" t="n">
        <x:v>666.21026404</x:v>
      </x:c>
      <x:c r="F5" s="27" t="n">
        <x:v>255419.47182083</x:v>
      </x:c>
      <x:c r="G5" s="27" t="n">
        <x:v>255419.47182083</x:v>
      </x:c>
      <x:c r="H5" s="40" t="n">
        <x:v>0</x:v>
      </x:c>
      <x:c r="I5" s="29" t="n">
        <x:v>1.97137323</x:v>
      </x:c>
      <x:c r="J5" t="str">
        <x:v>OK</x:v>
      </x:c>
    </x:row>
    <x:row r="6">
      <x:c r="A6" t="str">
        <x:v>GRANULAR</x:v>
      </x:c>
      <x:c r="B6" t="str">
        <x:v>Q2</x:v>
      </x:c>
      <x:c r="C6" t="str">
        <x:v>ANALYTIC_KKT</x:v>
      </x:c>
      <x:c r="D6" s="26" t="n">
        <x:v>1373.70224621</x:v>
      </x:c>
      <x:c r="E6" s="41" t="n">
        <x:v>1181.10767558</x:v>
      </x:c>
      <x:c r="F6" s="27" t="n">
        <x:v>663355.19080749</x:v>
      </x:c>
      <x:c r="G6" s="27" t="n">
        <x:v>663355.19080749</x:v>
      </x:c>
      <x:c r="H6" s="40" t="n">
        <x:v>0</x:v>
      </x:c>
      <x:c r="I6" s="29" t="n">
        <x:v>1.67823016</x:v>
      </x:c>
      <x:c r="J6" t="str">
        <x:v>OK</x:v>
      </x:c>
    </x:row>
    <x:row r="7">
      <x:c r="A7" t="str">
        <x:v>GRANULAR</x:v>
      </x:c>
      <x:c r="B7" t="str">
        <x:v>Q3</x:v>
      </x:c>
      <x:c r="C7" t="str">
        <x:v>ANALYTIC_KKT</x:v>
      </x:c>
      <x:c r="D7" s="26" t="n">
        <x:v>1517.52365192</x:v>
      </x:c>
      <x:c r="E7" s="41" t="n">
        <x:v>937.9168714</x:v>
      </x:c>
      <x:c r="F7" s="27" t="n">
        <x:v>719370.72860532</x:v>
      </x:c>
      <x:c r="G7" s="27" t="n">
        <x:v>719370.72860532</x:v>
      </x:c>
      <x:c r="H7" s="40" t="n">
        <x:v>0</x:v>
      </x:c>
      <x:c r="I7" s="29" t="n">
        <x:v>1.54121416</x:v>
      </x:c>
      <x:c r="J7" t="str">
        <x:v>OK</x:v>
      </x:c>
    </x:row>
    <x:row r="8">
      <x:c r="A8" t="str">
        <x:v>GRANULAR</x:v>
      </x:c>
      <x:c r="B8" t="str">
        <x:v>Q4</x:v>
      </x:c>
      <x:c r="C8" t="str">
        <x:v>ANALYTIC_KKT</x:v>
      </x:c>
      <x:c r="D8" s="26" t="n">
        <x:v>2262.51258425</x:v>
      </x:c>
      <x:c r="E8" s="41" t="n">
        <x:v>1958.09811605</x:v>
      </x:c>
      <x:c r="F8" s="27" t="n">
        <x:v>1270115.09122651</x:v>
      </x:c>
      <x:c r="G8" s="27" t="n">
        <x:v>1270115.09122651</x:v>
      </x:c>
      <x:c r="H8" s="40" t="n">
        <x:v>0</x:v>
      </x:c>
      <x:c r="I8" s="29" t="n">
        <x:v>2.13482725</x:v>
      </x:c>
      <x:c r="J8" t="str">
        <x:v>OK</x:v>
      </x:c>
    </x:row>
  </x:sheetData>
  <x:conditionalFormatting sqref="J2:J8">
    <x:cfRule type="containsText" dxfId="1" priority="1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a2322537310140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6" hidden="0" customWidth="1"/>
    <x:col min="4" max="4" width="17" hidden="0" customWidth="1"/>
    <x:col min="5" max="5" width="16" hidden="0" customWidth="1"/>
    <x:col min="6" max="6" width="12" hidden="0" customWidth="1"/>
    <x:col min="7" max="7" width="62" hidden="0" customWidth="1"/>
  </x:cols>
  <x:sheetData>
    <x:row r="1" ht="31" customHeight="1">
      <x:c r="A1" s="25" t="str">
        <x:v>Check</x:v>
      </x:c>
      <x:c r="B1" s="25" t="str">
        <x:v>Actual</x:v>
      </x:c>
      <x:c r="C1" s="25" t="str">
        <x:v>Expected</x:v>
      </x:c>
      <x:c r="D1" s="25" t="str">
        <x:v>Difference</x:v>
      </x:c>
      <x:c r="E1" s="25" t="str">
        <x:v>Tolerance</x:v>
      </x:c>
      <x:c r="F1" s="25" t="str">
        <x:v>Status</x:v>
      </x:c>
      <x:c r="G1" s="25" t="str">
        <x:v>Notes</x:v>
      </x:c>
    </x:row>
    <x:row r="2">
      <x:c r="A2" s="42" t="str">
        <x:v>Portfolio customer count</x:v>
      </x:c>
      <x:c r="B2" s="41" t="n">
        <x:v>10220</x:v>
      </x:c>
      <x:c r="C2" t="n">
        <x:v>10220</x:v>
      </x:c>
      <x:c r="D2" s="41" t="n">
        <x:v>0</x:v>
      </x:c>
      <x:c r="E2" s="41" t="n">
        <x:v>0</x:v>
      </x:c>
      <x:c r="F2" t="str">
        <x:v>OK</x:v>
      </x:c>
      <x:c r="G2" s="42" t="str">
        <x:v>HB must strongly dominate customer count.</x:v>
      </x:c>
    </x:row>
    <x:row r="3">
      <x:c r="A3" s="42" t="str">
        <x:v>Forecast annual energy (MWh)</x:v>
      </x:c>
      <x:c r="B3" s="41" t="n">
        <x:v>43000</x:v>
      </x:c>
      <x:c r="C3" t="n">
        <x:v>43000</x:v>
      </x:c>
      <x:c r="D3" s="41" t="n">
        <x:v>0</x:v>
      </x:c>
      <x:c r="E3" s="41" t="n">
        <x:v>0.000001</x:v>
      </x:c>
      <x:c r="F3" t="str">
        <x:v>OK</x:v>
      </x:c>
      <x:c r="G3" s="42" t="str">
        <x:v>Portfolio assumptions imply 43 GWh.</x:v>
      </x:c>
    </x:row>
    <x:row r="4">
      <x:c r="A4" s="42" t="str">
        <x:v>Forecast row count</x:v>
      </x:c>
      <x:c r="B4" s="41" t="n">
        <x:v>35136</x:v>
      </x:c>
      <x:c r="C4" t="n">
        <x:v>35136</x:v>
      </x:c>
      <x:c r="D4" s="41" t="n">
        <x:v>0</x:v>
      </x:c>
      <x:c r="E4" s="41" t="n">
        <x:v>0</x:v>
      </x:c>
      <x:c r="F4" t="str">
        <x:v>OK</x:v>
      </x:c>
      <x:c r="G4" s="42" t="str">
        <x:v>Full leap-year quarter-hour coverage.</x:v>
      </x:c>
    </x:row>
    <x:row r="5">
      <x:c r="A5" s="42" t="str">
        <x:v>Missing cells in model outputs</x:v>
      </x:c>
      <x:c r="B5" s="41" t="n">
        <x:v>0</x:v>
      </x:c>
      <x:c r="C5" t="n">
        <x:v>0</x:v>
      </x:c>
      <x:c r="D5" s="41" t="n">
        <x:v>0</x:v>
      </x:c>
      <x:c r="E5" s="41" t="n">
        <x:v>0</x:v>
      </x:c>
      <x:c r="F5" t="str">
        <x:v>OK</x:v>
      </x:c>
      <x:c r="G5" s="42" t="str">
        <x:v>All output tables must be complete.</x:v>
      </x:c>
    </x:row>
    <x:row r="6">
      <x:c r="A6" s="42" t="str">
        <x:v>Maximum hedge value-neutrality error (EUR)</x:v>
      </x:c>
      <x:c r="B6" s="41" t="n">
        <x:v>3e-8</x:v>
      </x:c>
      <x:c r="C6" t="n">
        <x:v>0</x:v>
      </x:c>
      <x:c r="D6" s="41" t="n">
        <x:v>3e-8</x:v>
      </x:c>
      <x:c r="E6" s="41" t="n">
        <x:v>0.01</x:v>
      </x:c>
      <x:c r="F6" t="str">
        <x:v>OK</x:v>
      </x:c>
      <x:c r="G6" s="42" t="str">
        <x:v>Hedge and forecast load have equal HPFC value.</x:v>
      </x:c>
    </x:row>
    <x:row r="7">
      <x:c r="A7" s="42" t="str">
        <x:v>Failed optimization blocks</x:v>
      </x:c>
      <x:c r="B7" s="41" t="n">
        <x:v>0</x:v>
      </x:c>
      <x:c r="C7" t="n">
        <x:v>0</x:v>
      </x:c>
      <x:c r="D7" s="41" t="n">
        <x:v>0</x:v>
      </x:c>
      <x:c r="E7" s="41" t="n">
        <x:v>0</x:v>
      </x:c>
      <x:c r="F7" t="str">
        <x:v>OK</x:v>
      </x:c>
      <x:c r="G7" s="42" t="str">
        <x:v>Every non-overlapping period solved successfully.</x:v>
      </x:c>
    </x:row>
    <x:row r="8">
      <x:c r="A8" s="42" t="str">
        <x:v>Minimum futures volume (MW)</x:v>
      </x:c>
      <x:c r="B8" s="41" t="n">
        <x:v>1.54121416</x:v>
      </x:c>
      <x:c r="C8" t="str">
        <x:v>&gt;= 0</x:v>
      </x:c>
      <x:c r="D8" s="41" t="str"/>
      <x:c r="E8" s="41" t="str"/>
      <x:c r="F8" t="str">
        <x:v>OK</x:v>
      </x:c>
      <x:c r="G8" s="42" t="str">
        <x:v>The teaching hedge uses long positions only.</x:v>
      </x:c>
    </x:row>
    <x:row r="9">
      <x:c r="A9" s="42" t="str">
        <x:v>Minimum selected market activity</x:v>
      </x:c>
      <x:c r="B9" s="41" t="n">
        <x:v>182</x:v>
      </x:c>
      <x:c r="C9" t="str">
        <x:v>&gt; 100</x:v>
      </x:c>
      <x:c r="D9" s="41" t="str"/>
      <x:c r="E9" s="41" t="str"/>
      <x:c r="F9" t="str">
        <x:v>OK</x:v>
      </x:c>
      <x:c r="G9" s="42" t="str">
        <x:v>No deliberately illiquid product may be selected.</x:v>
      </x:c>
    </x:row>
    <x:row r="10">
      <x:c r="A10" s="42" t="str">
        <x:v>Granular residual RMSE improvement (MW)</x:v>
      </x:c>
      <x:c r="B10" s="41" t="n">
        <x:v>0.08133290999999998</x:v>
      </x:c>
      <x:c r="C10" t="str">
        <x:v>&gt; 0</x:v>
      </x:c>
      <x:c r="D10" s="41" t="str"/>
      <x:c r="E10" s="41" t="str"/>
      <x:c r="F10" t="str">
        <x:v>OK</x:v>
      </x:c>
      <x:c r="G10" s="42" t="str">
        <x:v>The granular hedge must fit the forecast shape better.</x:v>
      </x:c>
    </x:row>
    <x:row r="11">
      <x:c r="A11" s="42" t="str">
        <x:v>Maximum settlement equivalence error (EUR)</x:v>
      </x:c>
      <x:c r="B11" s="41" t="n">
        <x:v>0</x:v>
      </x:c>
      <x:c r="C11" t="n">
        <x:v>0</x:v>
      </x:c>
      <x:c r="D11" s="41" t="n">
        <x:v>0</x:v>
      </x:c>
      <x:c r="E11" s="41" t="n">
        <x:v>0.01</x:v>
      </x:c>
      <x:c r="F11" t="str">
        <x:v>OK</x:v>
      </x:c>
      <x:c r="G11" s="42" t="str">
        <x:v>Physical-residual and financial-payoff views must agree.</x:v>
      </x:c>
    </x:row>
    <x:row r="12">
      <x:c r="A12" s="42" t="str">
        <x:v>Minimum hedge saving versus unhedged (EUR)</x:v>
      </x:c>
      <x:c r="B12" s="41" t="n">
        <x:v>55196.6469271</x:v>
      </x:c>
      <x:c r="C12" t="str">
        <x:v>&gt; 0</x:v>
      </x:c>
      <x:c r="D12" s="41" t="str"/>
      <x:c r="E12" s="41" t="str"/>
      <x:c r="F12" t="str">
        <x:v>OK</x:v>
      </x:c>
      <x:c r="G12" s="42" t="str">
        <x:v>Synthetic futures should produce a small positive saving.</x:v>
      </x:c>
    </x:row>
  </x:sheetData>
  <x:conditionalFormatting sqref="F2:F12">
    <x:cfRule type="containsText" dxfId="2" priority="1" operator="containsText" text="OK"/>
    <x:cfRule type="containsText" dxfId="3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3d922654945c46c3"/>
  </x:tableParts>
</x:worksheet>
</file>