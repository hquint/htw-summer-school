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801ab9c83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ec6e6d270042fe"/>
    <x:sheet xmlns:r="http://schemas.openxmlformats.org/officeDocument/2006/relationships" name="Checks" sheetId="2" r:id="R59c79e0e5fc84dee"/>
    <x:sheet xmlns:r="http://schemas.openxmlformats.org/officeDocument/2006/relationships" name="Futures" sheetId="3" r:id="R44be5561b1a649c1"/>
    <x:sheet xmlns:r="http://schemas.openxmlformats.org/officeDocument/2006/relationships" name="Profiles" sheetId="4" r:id="R1e80289b832741a1"/>
    <x:sheet xmlns:r="http://schemas.openxmlformats.org/officeDocument/2006/relationships" name="Monthly Prices" sheetId="5" r:id="R51b6bcbcd9f54603"/>
    <x:sheet xmlns:r="http://schemas.openxmlformats.org/officeDocument/2006/relationships" name="Sources" sheetId="6" r:id="Ra395c4a6be35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0"/>
    <x:numFmt numFmtId="201" formatCode="€#,##0.00"/>
    <x:numFmt numFmtId="202" formatCode="#,##0"/>
    <x:numFmt numFmtId="203" formatCode="0"/>
    <x:numFmt numFmtId="204" formatCode="#,##0.000"/>
    <x:numFmt numFmtId="205" formatCode="0.00"/>
    <x:numFmt numFmtId="206" formatCode="€#,##0.00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17324D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i/>
      <x:sz val="11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1F5"/>
      </x:patternFill>
    </x:fill>
    <x:fill>
      <x:patternFill patternType="solid">
        <x:fgColor rgb="FFFEF3C7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205" fontId="0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1" xfId="0" applyNumberFormat="1" applyFont="1" applyFill="1" applyBorder="1"/>
    <x:xf numFmtId="202" fontId="5" fillId="0" borderId="1" xfId="0" applyNumberFormat="1" applyFont="1" applyFill="1" applyBorder="1"/>
    <x:xf numFmtId="206" fontId="5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6" fontId="5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fc1bbe5a24896" /><Relationship Type="http://schemas.openxmlformats.org/officeDocument/2006/relationships/theme" Target="/xl/theme/theme1.xml" Id="R12c92ad195284a4d" /><Relationship Type="http://schemas.openxmlformats.org/officeDocument/2006/relationships/sharedStrings" Target="/xl/sharedStrings.xml" Id="R193b8949176448a9" /><Relationship Type="http://schemas.openxmlformats.org/officeDocument/2006/relationships/worksheet" Target="/xl/worksheets/sheet1.xml" Id="R0fec6e6d270042fe" /><Relationship Type="http://schemas.openxmlformats.org/officeDocument/2006/relationships/worksheet" Target="/xl/worksheets/sheet2.xml" Id="R59c79e0e5fc84dee" /><Relationship Type="http://schemas.openxmlformats.org/officeDocument/2006/relationships/worksheet" Target="/xl/worksheets/sheet3.xml" Id="R44be5561b1a649c1" /><Relationship Type="http://schemas.openxmlformats.org/officeDocument/2006/relationships/worksheet" Target="/xl/worksheets/sheet4.xml" Id="R1e80289b832741a1" /><Relationship Type="http://schemas.openxmlformats.org/officeDocument/2006/relationships/worksheet" Target="/xl/worksheets/sheet5.xml" Id="R51b6bcbcd9f54603" /><Relationship Type="http://schemas.openxmlformats.org/officeDocument/2006/relationships/worksheet" Target="/xl/worksheets/sheet6.xml" Id="Ra395c4a6be3547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ad74a22b254c68" /><Relationship Type="http://schemas.openxmlformats.org/officeDocument/2006/relationships/chart" Target="/xl/drawings/charts/chart2.xml" Id="R95c4875e66cd45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2024 monthly prices (EUR/MWh)</a:t>
            </a:r>
          </a:p>
        </c:rich>
      </c:tx>
    </c:title>
    <c:plotArea>
      <c:lineChart>
        <c:grouping val="standard"/>
        <c:ser>
          <c:idx val="0"/>
          <c:order val="0"/>
          <c:tx>
            <c:v>Day-Ahead</c:v>
          </c:tx>
          <c:marker>
            <c:symbol val="none"/>
          </c:marker>
          <c:cat>
            <c:strRef>
              <c:f>'Summary'!$A$13:$A$24</c:f>
              <c:strCache>
                <c:ptCount val="0"/>
              </c:strCache>
            </c:strRef>
          </c:cat>
          <c:val>
            <c:numRef>
              <c:f>'Summary'!$B$13:$B$24</c:f>
              <c:numCache>
                <c:formatCode>€#,##0.00</c:formatCode>
                <c:ptCount val="0"/>
              </c:numCache>
            </c:numRef>
          </c:val>
        </c:ser>
        <c:ser>
          <c:idx val="1"/>
          <c:order val="1"/>
          <c:tx>
            <c:v>reBAP</c:v>
          </c:tx>
          <c:marker>
            <c:symbol val="none"/>
          </c:marker>
          <c:cat>
            <c:strRef>
              <c:f>'Summary'!$A$13:$A$24</c:f>
              <c:strCache>
                <c:ptCount val="0"/>
              </c:strCache>
            </c:strRef>
          </c:cat>
          <c:val>
            <c:numRef>
              <c:f>'Summary'!$C$13:$C$24</c:f>
              <c:numCache>
                <c:formatCode>€#,##0.00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forwards versus realized block prices (EUR/MWh)</a:t>
            </a:r>
          </a:p>
        </c:rich>
      </c:tx>
    </c:title>
    <c:plotArea>
      <c:lineChart>
        <c:grouping val="standard"/>
        <c:ser>
          <c:idx val="0"/>
          <c:order val="0"/>
          <c:tx>
            <c:v>Synthetic forward</c:v>
          </c:tx>
          <c:marker>
            <c:symbol val="none"/>
          </c:marker>
          <c:cat>
            <c:strRef>
              <c:f>'Summary'!$A$29:$A$45</c:f>
              <c:strCache>
                <c:ptCount val="0"/>
              </c:strCache>
            </c:strRef>
          </c:cat>
          <c:val>
            <c:numRef>
              <c:f>'Summary'!$B$29:$B$45</c:f>
              <c:numCache>
                <c:formatCode>€#,##0.00</c:formatCode>
                <c:ptCount val="0"/>
              </c:numCache>
            </c:numRef>
          </c:val>
        </c:ser>
        <c:ser>
          <c:idx val="1"/>
          <c:order val="1"/>
          <c:tx>
            <c:v>Realized DA</c:v>
          </c:tx>
          <c:marker>
            <c:symbol val="none"/>
          </c:marker>
          <c:cat>
            <c:strRef>
              <c:f>'Summary'!$A$29:$A$45</c:f>
              <c:strCache>
                <c:ptCount val="0"/>
              </c:strCache>
            </c:strRef>
          </c:cat>
          <c:val>
            <c:numRef>
              <c:f>'Summary'!$C$29:$C$45</c:f>
              <c:numCache>
                <c:formatCode>€#,##0.00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ad74a22b254c68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c4875e66cd45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tionChecks" displayName="ValidationChecks" ref="A1:F19" headerRowCount="1" totalsRowCount="0" totalsRowShown="0">
  <x:tableColumns count="6">
    <x:tableColumn id="1" name="Check"/>
    <x:tableColumn id="2" name="Actual"/>
    <x:tableColumn id="3" name="Expected"/>
    <x:tableColumn id="4" name="Toleranc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turesComparison" displayName="FuturesComparison" ref="A1:F35" headerRowCount="1" totalsRowCount="0" totalsRowShown="0">
  <x:tableColumns count="6">
    <x:tableColumn id="1" name="Load type"/>
    <x:tableColumn id="2" name="Delivery period"/>
    <x:tableColumn id="3" name="Synthetic forward (EUR/MWh)"/>
    <x:tableColumn id="4" name="Market activity"/>
    <x:tableColumn id="5" name="Realized DA block average (EUR/MWh)"/>
    <x:tableColumn id="6" name="Ex-post gain (EUR/MWh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verageDailyProfiles" displayName="AverageDailyProfiles" ref="A1:E97" headerRowCount="1" totalsRowCount="0" totalsRowShown="0">
  <x:tableColumns count="5">
    <x:tableColumn id="1" name="Quarter-hour index"/>
    <x:tableColumn id="2" name="HB normalized kWh"/>
    <x:tableColumn id="3" name="GB normalized kWh"/>
    <x:tableColumn id="4" name="LB normalized kWh"/>
    <x:tableColumn id="5" name="Local hou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hlyMarketPrices" displayName="MonthlyMarketPrices" ref="A1:C13" headerRowCount="1" totalsRowCount="0" totalsRowShown="0">
  <x:tableColumns count="3">
    <x:tableColumn id="1" name="Month"/>
    <x:tableColumn id="2" name="Day-Ahead (EUR/MWh)"/>
    <x:tableColumn id="3" name="reBAP (EUR/MWh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ources" displayName="DataSources" ref="A1:D7" headerRowCount="1" totalsRowCount="0" totalsRowShown="0">
  <x:tableColumns count="4">
    <x:tableColumn id="1" name="Dataset"/>
    <x:tableColumn id="2" name="Publisher"/>
    <x:tableColumn id="3" name="Data status"/>
    <x:tableColumn id="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576cecaed642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de68455852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af38a08b549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8ae7171bdd42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92f57a6d8f4d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8ce0945edd45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19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17" t="str">
        <x:v>HTW Summer School — 2024 dataset inspection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3">
      <x:c r="A3" s="61" t="str">
        <x:v>Validation snapshot</x:v>
      </x:c>
      <x:c r="B3" s="62"/>
      <x:c r="C3" s="60"/>
      <x:c r="D3" s="61" t="str">
        <x:v>Teaching-data design</x:v>
      </x:c>
      <x:c r="E3" s="63"/>
      <x:c r="F3" s="62"/>
      <x:c r="G3" s="60"/>
      <x:c r="H3" s="60"/>
      <x:c r="I3" s="60"/>
      <x:c r="J3" s="60"/>
      <x:c r="K3" s="60"/>
      <x:c r="L3" s="60"/>
    </x:row>
    <x:row r="4">
      <x:c r="A4" s="64" t="str">
        <x:v>Overall validation</x:v>
      </x:c>
      <x:c r="B4" s="65" t="str">
        <x:f>IF(COUNTIF('Checks'!$E$2:$E$19,"FAIL")=0,"OK","FAIL")</x:f>
        <x:v>OK</x:v>
      </x:c>
      <x:c r="C4" s="60"/>
      <x:c r="D4" s="5" t="str">
        <x:v>Component</x:v>
      </x:c>
      <x:c r="E4" s="5" t="str">
        <x:v>Status</x:v>
      </x:c>
      <x:c r="F4" s="5" t="str">
        <x:v>Meaning</x:v>
      </x:c>
      <x:c r="G4" s="60"/>
      <x:c r="H4" s="60"/>
      <x:c r="I4" s="60"/>
      <x:c r="J4" s="60"/>
      <x:c r="K4" s="60"/>
      <x:c r="L4" s="60"/>
    </x:row>
    <x:row r="5">
      <x:c r="A5" s="64" t="str">
        <x:v>Passed checks</x:v>
      </x:c>
      <x:c r="B5" s="66" t="n">
        <x:f>COUNTIF('Checks'!$E$2:$E$19,"OK")</x:f>
        <x:v>18</x:v>
      </x:c>
      <x:c r="C5" s="60"/>
      <x:c r="D5" s="67" t="str">
        <x:v>SLP / spot / reBAP</x:v>
      </x:c>
      <x:c r="E5" s="67" t="str">
        <x:v>Observed</x:v>
      </x:c>
      <x:c r="F5" s="67" t="str">
        <x:v>Downloaded public data</x:v>
      </x:c>
      <x:c r="G5" s="60"/>
      <x:c r="H5" s="60"/>
      <x:c r="I5" s="60"/>
      <x:c r="J5" s="60"/>
      <x:c r="K5" s="60"/>
      <x:c r="L5" s="60"/>
    </x:row>
    <x:row r="6">
      <x:c r="A6" s="64" t="str">
        <x:v>Quarter-hours</x:v>
      </x:c>
      <x:c r="B6" s="66" t="n">
        <x:f>'Checks'!$B$2</x:f>
        <x:v>35136</x:v>
      </x:c>
      <x:c r="C6" s="60"/>
      <x:c r="D6" s="67" t="str">
        <x:v>Shape factor</x:v>
      </x:c>
      <x:c r="E6" s="67" t="str">
        <x:v>Derived</x:v>
      </x:c>
      <x:c r="F6" s="67" t="str">
        <x:v>2019–2022 real-price pattern</x:v>
      </x:c>
      <x:c r="G6" s="60"/>
      <x:c r="H6" s="60"/>
      <x:c r="I6" s="60"/>
      <x:c r="J6" s="60"/>
      <x:c r="K6" s="60"/>
      <x:c r="L6" s="60"/>
    </x:row>
    <x:row r="7">
      <x:c r="A7" s="64" t="str">
        <x:v>Liquid mean gain</x:v>
      </x:c>
      <x:c r="B7" s="68" t="n">
        <x:f>AVERAGEIF('Futures'!$D$2:$D$35,"&gt;=100",'Futures'!$F$2:$F$35)</x:f>
        <x:v>1.2507863124999998</x:v>
      </x:c>
      <x:c r="C7" s="60"/>
      <x:c r="D7" s="67" t="str">
        <x:v>Futures price</x:v>
      </x:c>
      <x:c r="E7" s="67" t="str">
        <x:v>Synthetic</x:v>
      </x:c>
      <x:c r="F7" s="67" t="str">
        <x:v>Small positive teaching payoff</x:v>
      </x:c>
      <x:c r="G7" s="60"/>
      <x:c r="H7" s="60"/>
      <x:c r="I7" s="60"/>
      <x:c r="J7" s="60"/>
      <x:c r="K7" s="60"/>
      <x:c r="L7" s="60"/>
    </x:row>
    <x:row r="8">
      <x:c r="A8" s="64" t="str">
        <x:v>Granular minimum gain</x:v>
      </x:c>
      <x:c r="B8" s="68" t="n">
        <x:f>'Checks'!$B$19</x:f>
        <x:v>1.2458</x:v>
      </x:c>
      <x:c r="C8" s="60"/>
      <x:c r="D8" s="67" t="str">
        <x:v>Market activity</x:v>
      </x:c>
      <x:c r="E8" s="67" t="str">
        <x:v>Synthetic</x:v>
      </x:c>
      <x:c r="F8" s="67" t="str">
        <x:v>&gt;100 usable; 1–10 illiquid</x:v>
      </x:c>
      <x:c r="G8" s="60"/>
      <x:c r="H8" s="60"/>
      <x:c r="I8" s="60"/>
      <x:c r="J8" s="60"/>
      <x:c r="K8" s="60"/>
      <x:c r="L8" s="60"/>
    </x:row>
    <x:row r="9">
      <x:c r="A9" s="60"/>
      <x:c r="B9" s="60"/>
      <x:c r="C9" s="60"/>
      <x:c r="D9" s="60"/>
      <x:c r="E9" s="60"/>
      <x:c r="F9" s="60"/>
      <x:c r="G9" s="60"/>
      <x:c r="H9" s="60"/>
      <x:c r="I9" s="60"/>
      <x:c r="J9" s="60"/>
      <x:c r="K9" s="60"/>
      <x:c r="L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</x:row>
    <x:row r="11">
      <x:c r="A11" s="61" t="str">
        <x:v>Observed monthly market prices</x:v>
      </x:c>
      <x:c r="B11" s="63"/>
      <x:c r="C11" s="62"/>
      <x:c r="D11" s="60"/>
      <x:c r="E11" s="60"/>
      <x:c r="F11" s="60"/>
      <x:c r="G11" s="60"/>
      <x:c r="H11" s="60"/>
      <x:c r="I11" s="60"/>
      <x:c r="J11" s="60"/>
      <x:c r="K11" s="60"/>
      <x:c r="L11" s="60"/>
    </x:row>
    <x:row r="12">
      <x:c r="A12" s="69" t="str">
        <x:v>Month</x:v>
      </x:c>
      <x:c r="B12" s="69" t="str">
        <x:v>Day-Ahead</x:v>
      </x:c>
      <x:c r="C12" s="69" t="str">
        <x:v>reBAP</x:v>
      </x:c>
      <x:c r="D12" s="60"/>
      <x:c r="E12" s="60"/>
      <x:c r="F12" s="60"/>
      <x:c r="G12" s="60"/>
      <x:c r="H12" s="60"/>
      <x:c r="I12" s="60"/>
      <x:c r="J12" s="60"/>
      <x:c r="K12" s="60"/>
      <x:c r="L12" s="60"/>
    </x:row>
    <x:row r="13">
      <x:c r="A13" s="70" t="n">
        <x:f>'Monthly Prices'!A2</x:f>
        <x:v>1</x:v>
      </x:c>
      <x:c r="B13" s="71" t="n">
        <x:f>'Monthly Prices'!B2</x:f>
        <x:v>76.571142</x:v>
      </x:c>
      <x:c r="C13" s="71" t="n">
        <x:f>'Monthly Prices'!C2</x:f>
        <x:v>87.0108</x:v>
      </x:c>
      <x:c r="D13" s="60"/>
      <x:c r="E13" s="60"/>
      <x:c r="F13" s="60"/>
      <x:c r="G13" s="60"/>
      <x:c r="H13" s="60"/>
      <x:c r="I13" s="60"/>
      <x:c r="J13" s="60"/>
      <x:c r="K13" s="60"/>
      <x:c r="L13" s="60"/>
    </x:row>
    <x:row r="14">
      <x:c r="A14" s="70" t="n">
        <x:f>'Monthly Prices'!A3</x:f>
        <x:v>2</x:v>
      </x:c>
      <x:c r="B14" s="71" t="n">
        <x:f>'Monthly Prices'!B3</x:f>
        <x:v>61.335848</x:v>
      </x:c>
      <x:c r="C14" s="71" t="n">
        <x:f>'Monthly Prices'!C3</x:f>
        <x:v>60.414885</x:v>
      </x:c>
      <x:c r="D14" s="60"/>
      <x:c r="E14" s="60"/>
      <x:c r="F14" s="60"/>
      <x:c r="G14" s="60"/>
      <x:c r="H14" s="60"/>
      <x:c r="I14" s="60"/>
      <x:c r="J14" s="60"/>
      <x:c r="K14" s="60"/>
      <x:c r="L14" s="60"/>
    </x:row>
    <x:row r="15">
      <x:c r="A15" s="70" t="n">
        <x:f>'Monthly Prices'!A4</x:f>
        <x:v>3</x:v>
      </x:c>
      <x:c r="B15" s="71" t="n">
        <x:f>'Monthly Prices'!B4</x:f>
        <x:v>64.701992</x:v>
      </x:c>
      <x:c r="C15" s="71" t="n">
        <x:f>'Monthly Prices'!C4</x:f>
        <x:v>63.503203</x:v>
      </x:c>
      <x:c r="D15" s="60"/>
      <x:c r="E15" s="60"/>
      <x:c r="F15" s="60"/>
      <x:c r="G15" s="60"/>
      <x:c r="H15" s="60"/>
      <x:c r="I15" s="60"/>
      <x:c r="J15" s="60"/>
      <x:c r="K15" s="60"/>
      <x:c r="L15" s="60"/>
    </x:row>
    <x:row r="16">
      <x:c r="A16" s="70" t="n">
        <x:f>'Monthly Prices'!A5</x:f>
        <x:v>4</x:v>
      </x:c>
      <x:c r="B16" s="71" t="n">
        <x:f>'Monthly Prices'!B5</x:f>
        <x:v>62.360819</x:v>
      </x:c>
      <x:c r="C16" s="71" t="n">
        <x:f>'Monthly Prices'!C5</x:f>
        <x:v>52.966222</x:v>
      </x:c>
      <x:c r="D16" s="60"/>
      <x:c r="E16" s="60"/>
      <x:c r="F16" s="60"/>
      <x:c r="G16" s="60"/>
      <x:c r="H16" s="60"/>
      <x:c r="I16" s="60"/>
      <x:c r="J16" s="60"/>
      <x:c r="K16" s="60"/>
      <x:c r="L16" s="60"/>
    </x:row>
    <x:row r="17">
      <x:c r="A17" s="70" t="n">
        <x:f>'Monthly Prices'!A6</x:f>
        <x:v>5</x:v>
      </x:c>
      <x:c r="B17" s="71" t="n">
        <x:f>'Monthly Prices'!B6</x:f>
        <x:v>67.210013</x:v>
      </x:c>
      <x:c r="C17" s="71" t="n">
        <x:f>'Monthly Prices'!C6</x:f>
        <x:v>60.873797</x:v>
      </x:c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>
      <x:c r="A18" s="70" t="n">
        <x:f>'Monthly Prices'!A7</x:f>
        <x:v>6</x:v>
      </x:c>
      <x:c r="B18" s="71" t="n">
        <x:f>'Monthly Prices'!B7</x:f>
        <x:v>72.887722</x:v>
      </x:c>
      <x:c r="C18" s="71" t="n">
        <x:f>'Monthly Prices'!C7</x:f>
        <x:v>116.85501</x:v>
      </x:c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70" t="n">
        <x:f>'Monthly Prices'!A8</x:f>
        <x:v>7</x:v>
      </x:c>
      <x:c r="B19" s="71" t="n">
        <x:f>'Monthly Prices'!B8</x:f>
        <x:v>67.69703</x:v>
      </x:c>
      <x:c r="C19" s="71" t="n">
        <x:f>'Monthly Prices'!C8</x:f>
        <x:v>79.405709</x:v>
      </x:c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70" t="n">
        <x:f>'Monthly Prices'!A9</x:f>
        <x:v>8</x:v>
      </x:c>
      <x:c r="B20" s="71" t="n">
        <x:f>'Monthly Prices'!B9</x:f>
        <x:v>82.047177</x:v>
      </x:c>
      <x:c r="C20" s="71" t="n">
        <x:f>'Monthly Prices'!C9</x:f>
        <x:v>93.383535</x:v>
      </x:c>
      <x:c r="D20" s="60"/>
      <x:c r="E20" s="60"/>
      <x:c r="F20" s="60"/>
      <x:c r="G20" s="60"/>
      <x:c r="H20" s="60"/>
      <x:c r="I20" s="60"/>
      <x:c r="J20" s="60"/>
      <x:c r="K20" s="60"/>
      <x:c r="L20" s="60"/>
    </x:row>
    <x:row r="21">
      <x:c r="A21" s="70" t="n">
        <x:f>'Monthly Prices'!A10</x:f>
        <x:v>9</x:v>
      </x:c>
      <x:c r="B21" s="71" t="n">
        <x:f>'Monthly Prices'!B10</x:f>
        <x:v>78.309972</x:v>
      </x:c>
      <x:c r="C21" s="71" t="n">
        <x:f>'Monthly Prices'!C10</x:f>
        <x:v>84.203997</x:v>
      </x:c>
      <x:c r="D21" s="60"/>
      <x:c r="E21" s="60"/>
      <x:c r="F21" s="60"/>
      <x:c r="G21" s="60"/>
      <x:c r="H21" s="60"/>
      <x:c r="I21" s="60"/>
      <x:c r="J21" s="60"/>
      <x:c r="K21" s="60"/>
      <x:c r="L21" s="60"/>
    </x:row>
    <x:row r="22">
      <x:c r="A22" s="70" t="n">
        <x:f>'Monthly Prices'!A11</x:f>
        <x:v>10</x:v>
      </x:c>
      <x:c r="B22" s="71" t="n">
        <x:f>'Monthly Prices'!B11</x:f>
        <x:v>86.09655</x:v>
      </x:c>
      <x:c r="C22" s="71" t="n">
        <x:f>'Monthly Prices'!C11</x:f>
        <x:v>86.064758</x:v>
      </x:c>
      <x:c r="D22" s="60"/>
      <x:c r="E22" s="60"/>
      <x:c r="F22" s="60"/>
      <x:c r="G22" s="60"/>
      <x:c r="H22" s="60"/>
      <x:c r="I22" s="60"/>
      <x:c r="J22" s="60"/>
      <x:c r="K22" s="60"/>
      <x:c r="L22" s="60"/>
    </x:row>
    <x:row r="23">
      <x:c r="A23" s="70" t="n">
        <x:f>'Monthly Prices'!A12</x:f>
        <x:v>11</x:v>
      </x:c>
      <x:c r="B23" s="71" t="n">
        <x:f>'Monthly Prices'!B12</x:f>
        <x:v>113.906444</x:v>
      </x:c>
      <x:c r="C23" s="71" t="n">
        <x:f>'Monthly Prices'!C12</x:f>
        <x:v>115.034882</x:v>
      </x:c>
      <x:c r="D23" s="60"/>
      <x:c r="E23" s="60"/>
      <x:c r="F23" s="60"/>
      <x:c r="G23" s="60"/>
      <x:c r="H23" s="60"/>
      <x:c r="I23" s="60"/>
      <x:c r="J23" s="60"/>
      <x:c r="K23" s="60"/>
      <x:c r="L23" s="60"/>
    </x:row>
    <x:row r="24">
      <x:c r="A24" s="70" t="n">
        <x:f>'Monthly Prices'!A13</x:f>
        <x:v>12</x:v>
      </x:c>
      <x:c r="B24" s="71" t="n">
        <x:f>'Monthly Prices'!B13</x:f>
        <x:v>108.315591</x:v>
      </x:c>
      <x:c r="C24" s="71" t="n">
        <x:f>'Monthly Prices'!C13</x:f>
        <x:v>128.721022</x:v>
      </x:c>
      <x:c r="D24" s="60"/>
      <x:c r="E24" s="60"/>
      <x:c r="F24" s="60"/>
      <x:c r="G24" s="60"/>
      <x:c r="H24" s="60"/>
      <x:c r="I24" s="60"/>
      <x:c r="J24" s="60"/>
      <x:c r="K24" s="60"/>
      <x:c r="L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</x:row>
    <x:row r="27">
      <x:c r="A27" s="61" t="str">
        <x:v>Base futures: forward, realized and activity</x:v>
      </x:c>
      <x:c r="B27" s="63"/>
      <x:c r="C27" s="63"/>
      <x:c r="D27" s="62"/>
      <x:c r="E27" s="60"/>
      <x:c r="F27" s="60"/>
      <x:c r="G27" s="60"/>
      <x:c r="H27" s="60"/>
      <x:c r="I27" s="60"/>
      <x:c r="J27" s="60"/>
      <x:c r="K27" s="60"/>
      <x:c r="L27" s="60"/>
    </x:row>
    <x:row r="28">
      <x:c r="A28" s="69" t="str">
        <x:v>Product</x:v>
      </x:c>
      <x:c r="B28" s="69" t="str">
        <x:v>Synthetic forward</x:v>
      </x:c>
      <x:c r="C28" s="69" t="str">
        <x:v>Realized DA</x:v>
      </x:c>
      <x:c r="D28" s="69" t="str">
        <x:v>Market activity</x:v>
      </x:c>
      <x:c r="E28" s="60"/>
      <x:c r="F28" s="60"/>
      <x:c r="G28" s="60"/>
      <x:c r="H28" s="60"/>
      <x:c r="I28" s="60"/>
      <x:c r="J28" s="60"/>
      <x:c r="K28" s="60"/>
      <x:c r="L28" s="60"/>
    </x:row>
    <x:row r="29">
      <x:c r="A29" s="70" t="str">
        <x:f>'Futures'!B2</x:f>
        <x:v>CAL</x:v>
      </x:c>
      <x:c r="B29" s="71" t="n">
        <x:f>'Futures'!C2</x:f>
        <x:v>77.26</x:v>
      </x:c>
      <x:c r="C29" s="71" t="n">
        <x:f>'Futures'!E2</x:f>
        <x:v>78.512033</x:v>
      </x:c>
      <x:c r="D29" s="72" t="n">
        <x:f>'Futures'!D2</x:f>
        <x:v>5000</x:v>
      </x:c>
      <x:c r="E29" s="60"/>
      <x:c r="F29" s="60"/>
      <x:c r="G29" s="60"/>
      <x:c r="H29" s="60"/>
      <x:c r="I29" s="60"/>
      <x:c r="J29" s="60"/>
      <x:c r="K29" s="60"/>
      <x:c r="L29" s="60"/>
    </x:row>
    <x:row r="30">
      <x:c r="A30" s="70" t="str">
        <x:f>'Futures'!B4</x:f>
        <x:v>Q1</x:v>
      </x:c>
      <x:c r="B30" s="71" t="n">
        <x:f>'Futures'!C4</x:f>
        <x:v>66.42</x:v>
      </x:c>
      <x:c r="C30" s="71" t="n">
        <x:f>'Futures'!E4</x:f>
        <x:v>67.673962</x:v>
      </x:c>
      <x:c r="D30" s="72" t="n">
        <x:f>'Futures'!D4</x:f>
        <x:v>3000</x:v>
      </x:c>
      <x:c r="E30" s="60"/>
      <x:c r="F30" s="60"/>
      <x:c r="G30" s="60"/>
      <x:c r="H30" s="60"/>
      <x:c r="I30" s="60"/>
      <x:c r="J30" s="60"/>
      <x:c r="K30" s="60"/>
      <x:c r="L30" s="60"/>
    </x:row>
    <x:row r="31">
      <x:c r="A31" s="70" t="str">
        <x:f>'Futures'!B6</x:f>
        <x:v>Q2</x:v>
      </x:c>
      <x:c r="B31" s="71" t="n">
        <x:f>'Futures'!C6</x:f>
        <x:v>66.23</x:v>
      </x:c>
      <x:c r="C31" s="71" t="n">
        <x:f>'Futures'!E6</x:f>
        <x:v>67.48315</x:v>
      </x:c>
      <x:c r="D31" s="72" t="n">
        <x:f>'Futures'!D6</x:f>
        <x:v>2200</x:v>
      </x:c>
      <x:c r="E31" s="60"/>
      <x:c r="F31" s="60"/>
      <x:c r="G31" s="60"/>
      <x:c r="H31" s="60"/>
      <x:c r="I31" s="60"/>
      <x:c r="J31" s="60"/>
      <x:c r="K31" s="60"/>
      <x:c r="L31" s="60"/>
    </x:row>
    <x:row r="32">
      <x:c r="A32" s="70" t="str">
        <x:f>'Futures'!B8</x:f>
        <x:v>Q3</x:v>
      </x:c>
      <x:c r="B32" s="71" t="n">
        <x:f>'Futures'!C8</x:f>
        <x:v>74.74</x:v>
      </x:c>
      <x:c r="C32" s="71" t="n">
        <x:f>'Futures'!E8</x:f>
        <x:v>75.993148</x:v>
      </x:c>
      <x:c r="D32" s="72" t="n">
        <x:f>'Futures'!D8</x:f>
        <x:v>1600</x:v>
      </x:c>
      <x:c r="E32" s="60"/>
      <x:c r="F32" s="60"/>
      <x:c r="G32" s="60"/>
      <x:c r="H32" s="60"/>
      <x:c r="I32" s="60"/>
      <x:c r="J32" s="60"/>
      <x:c r="K32" s="60"/>
      <x:c r="L32" s="60"/>
    </x:row>
    <x:row r="33">
      <x:c r="A33" s="70" t="str">
        <x:f>'Futures'!B10</x:f>
        <x:v>Q4</x:v>
      </x:c>
      <x:c r="B33" s="71" t="n">
        <x:f>'Futures'!C10</x:f>
        <x:v>101.39</x:v>
      </x:c>
      <x:c r="C33" s="71" t="n">
        <x:f>'Futures'!E10</x:f>
        <x:v>102.64435</x:v>
      </x:c>
      <x:c r="D33" s="72" t="n">
        <x:f>'Futures'!D10</x:f>
        <x:v>1400</x:v>
      </x:c>
      <x:c r="E33" s="60"/>
      <x:c r="F33" s="60"/>
      <x:c r="G33" s="60"/>
      <x:c r="H33" s="60"/>
      <x:c r="I33" s="60"/>
      <x:c r="J33" s="60"/>
      <x:c r="K33" s="60"/>
      <x:c r="L33" s="60"/>
    </x:row>
    <x:row r="34">
      <x:c r="A34" s="70" t="str">
        <x:f>'Futures'!B12</x:f>
        <x:v>M01</x:v>
      </x:c>
      <x:c r="B34" s="71" t="n">
        <x:f>'Futures'!C12</x:f>
        <x:v>75.32</x:v>
      </x:c>
      <x:c r="C34" s="71" t="n">
        <x:f>'Futures'!E12</x:f>
        <x:v>76.571142</x:v>
      </x:c>
      <x:c r="D34" s="72" t="n">
        <x:f>'Futures'!D12</x:f>
        <x:v>900</x:v>
      </x:c>
      <x:c r="E34" s="60"/>
      <x:c r="F34" s="60"/>
      <x:c r="G34" s="60"/>
      <x:c r="H34" s="60"/>
      <x:c r="I34" s="60"/>
      <x:c r="J34" s="60"/>
      <x:c r="K34" s="60"/>
      <x:c r="L34" s="60"/>
    </x:row>
    <x:row r="35">
      <x:c r="A35" s="70" t="str">
        <x:f>'Futures'!B14</x:f>
        <x:v>M02</x:v>
      </x:c>
      <x:c r="B35" s="71" t="n">
        <x:f>'Futures'!C14</x:f>
        <x:v>60.09</x:v>
      </x:c>
      <x:c r="C35" s="71" t="n">
        <x:f>'Futures'!E14</x:f>
        <x:v>61.335848</x:v>
      </x:c>
      <x:c r="D35" s="72" t="n">
        <x:f>'Futures'!D14</x:f>
        <x:v>800</x:v>
      </x:c>
      <x:c r="E35" s="60"/>
      <x:c r="F35" s="60"/>
      <x:c r="G35" s="60"/>
      <x:c r="H35" s="60"/>
      <x:c r="I35" s="60"/>
      <x:c r="J35" s="60"/>
      <x:c r="K35" s="60"/>
      <x:c r="L35" s="60"/>
    </x:row>
    <x:row r="36">
      <x:c r="A36" s="70" t="str">
        <x:f>'Futures'!B16</x:f>
        <x:v>M03</x:v>
      </x:c>
      <x:c r="B36" s="71" t="n">
        <x:f>'Futures'!C16</x:f>
        <x:v>63.45</x:v>
      </x:c>
      <x:c r="C36" s="71" t="n">
        <x:f>'Futures'!E16</x:f>
        <x:v>64.701992</x:v>
      </x:c>
      <x:c r="D36" s="72" t="n">
        <x:f>'Futures'!D16</x:f>
        <x:v>650</x:v>
      </x:c>
      <x:c r="E36" s="60"/>
      <x:c r="F36" s="60"/>
      <x:c r="G36" s="60"/>
      <x:c r="H36" s="60"/>
      <x:c r="I36" s="60"/>
      <x:c r="J36" s="60"/>
      <x:c r="K36" s="60"/>
      <x:c r="L36" s="60"/>
    </x:row>
    <x:row r="37">
      <x:c r="A37" s="70" t="str">
        <x:f>'Futures'!B18</x:f>
        <x:v>M04</x:v>
      </x:c>
      <x:c r="B37" s="71" t="n">
        <x:f>'Futures'!C18</x:f>
        <x:v>67.11</x:v>
      </x:c>
      <x:c r="C37" s="71" t="n">
        <x:f>'Futures'!E18</x:f>
        <x:v>62.360819</x:v>
      </x:c>
      <x:c r="D37" s="72" t="n">
        <x:f>'Futures'!D18</x:f>
        <x:v>10</x:v>
      </x:c>
      <x:c r="E37" s="60"/>
      <x:c r="F37" s="60"/>
      <x:c r="G37" s="60"/>
      <x:c r="H37" s="60"/>
      <x:c r="I37" s="60"/>
      <x:c r="J37" s="60"/>
      <x:c r="K37" s="60"/>
      <x:c r="L37" s="60"/>
    </x:row>
    <x:row r="38">
      <x:c r="A38" s="70" t="str">
        <x:f>'Futures'!B20</x:f>
        <x:v>M05</x:v>
      </x:c>
      <x:c r="B38" s="71" t="n">
        <x:f>'Futures'!C20</x:f>
        <x:v>60.96</x:v>
      </x:c>
      <x:c r="C38" s="71" t="n">
        <x:f>'Futures'!E20</x:f>
        <x:v>67.210013</x:v>
      </x:c>
      <x:c r="D38" s="72" t="n">
        <x:f>'Futures'!D20</x:f>
        <x:v>8</x:v>
      </x:c>
      <x:c r="E38" s="60"/>
      <x:c r="F38" s="60"/>
      <x:c r="G38" s="60"/>
      <x:c r="H38" s="60"/>
      <x:c r="I38" s="60"/>
      <x:c r="J38" s="60"/>
      <x:c r="K38" s="60"/>
      <x:c r="L38" s="60"/>
    </x:row>
    <x:row r="39">
      <x:c r="A39" s="70" t="str">
        <x:f>'Futures'!B22</x:f>
        <x:v>M06</x:v>
      </x:c>
      <x:c r="B39" s="71" t="n">
        <x:f>'Futures'!C22</x:f>
        <x:v>79.64</x:v>
      </x:c>
      <x:c r="C39" s="71" t="n">
        <x:f>'Futures'!E22</x:f>
        <x:v>72.887722</x:v>
      </x:c>
      <x:c r="D39" s="72" t="n">
        <x:f>'Futures'!D22</x:f>
        <x:v>7</x:v>
      </x:c>
      <x:c r="E39" s="60"/>
      <x:c r="F39" s="60"/>
      <x:c r="G39" s="60"/>
      <x:c r="H39" s="60"/>
      <x:c r="I39" s="60"/>
      <x:c r="J39" s="60"/>
      <x:c r="K39" s="60"/>
      <x:c r="L39" s="60"/>
    </x:row>
    <x:row r="40">
      <x:c r="A40" s="70" t="str">
        <x:f>'Futures'!B24</x:f>
        <x:v>M07</x:v>
      </x:c>
      <x:c r="B40" s="71" t="n">
        <x:f>'Futures'!C24</x:f>
        <x:v>59.45</x:v>
      </x:c>
      <x:c r="C40" s="71" t="n">
        <x:f>'Futures'!E24</x:f>
        <x:v>67.69703</x:v>
      </x:c>
      <x:c r="D40" s="72" t="n">
        <x:f>'Futures'!D24</x:f>
        <x:v>6</x:v>
      </x:c>
      <x:c r="E40" s="60"/>
      <x:c r="F40" s="60"/>
      <x:c r="G40" s="60"/>
      <x:c r="H40" s="60"/>
      <x:c r="I40" s="60"/>
      <x:c r="J40" s="60"/>
      <x:c r="K40" s="60"/>
      <x:c r="L40" s="60"/>
    </x:row>
    <x:row r="41">
      <x:c r="A41" s="70" t="str">
        <x:f>'Futures'!B26</x:f>
        <x:v>M08</x:v>
      </x:c>
      <x:c r="B41" s="71" t="n">
        <x:f>'Futures'!C26</x:f>
        <x:v>84.8</x:v>
      </x:c>
      <x:c r="C41" s="71" t="n">
        <x:f>'Futures'!E26</x:f>
        <x:v>82.047177</x:v>
      </x:c>
      <x:c r="D41" s="72" t="n">
        <x:f>'Futures'!D26</x:f>
        <x:v>5</x:v>
      </x:c>
      <x:c r="E41" s="60"/>
      <x:c r="F41" s="60"/>
      <x:c r="G41" s="60"/>
      <x:c r="H41" s="60"/>
      <x:c r="I41" s="60"/>
      <x:c r="J41" s="60"/>
      <x:c r="K41" s="60"/>
      <x:c r="L41" s="60"/>
    </x:row>
    <x:row r="42">
      <x:c r="A42" s="70" t="str">
        <x:f>'Futures'!B28</x:f>
        <x:v>M09</x:v>
      </x:c>
      <x:c r="B42" s="71" t="n">
        <x:f>'Futures'!C28</x:f>
        <x:v>73.06</x:v>
      </x:c>
      <x:c r="C42" s="71" t="n">
        <x:f>'Futures'!E28</x:f>
        <x:v>78.309972</x:v>
      </x:c>
      <x:c r="D42" s="72" t="n">
        <x:f>'Futures'!D28</x:f>
        <x:v>4</x:v>
      </x:c>
      <x:c r="E42" s="60"/>
      <x:c r="F42" s="60"/>
      <x:c r="G42" s="60"/>
      <x:c r="H42" s="60"/>
      <x:c r="I42" s="60"/>
      <x:c r="J42" s="60"/>
      <x:c r="K42" s="60"/>
      <x:c r="L42" s="60"/>
    </x:row>
    <x:row r="43">
      <x:c r="A43" s="70" t="str">
        <x:f>'Futures'!B30</x:f>
        <x:v>M10</x:v>
      </x:c>
      <x:c r="B43" s="71" t="n">
        <x:f>'Futures'!C30</x:f>
        <x:v>91.85</x:v>
      </x:c>
      <x:c r="C43" s="71" t="n">
        <x:f>'Futures'!E30</x:f>
        <x:v>86.09655</x:v>
      </x:c>
      <x:c r="D43" s="72" t="n">
        <x:f>'Futures'!D30</x:f>
        <x:v>3</x:v>
      </x:c>
      <x:c r="E43" s="60"/>
      <x:c r="F43" s="60"/>
      <x:c r="G43" s="60"/>
      <x:c r="H43" s="60"/>
      <x:c r="I43" s="60"/>
      <x:c r="J43" s="60"/>
      <x:c r="K43" s="60"/>
      <x:c r="L43" s="60"/>
    </x:row>
    <x:row r="44">
      <x:c r="A44" s="70" t="str">
        <x:f>'Futures'!B32</x:f>
        <x:v>M11</x:v>
      </x:c>
      <x:c r="B44" s="71" t="n">
        <x:f>'Futures'!C32</x:f>
        <x:v>106.66</x:v>
      </x:c>
      <x:c r="C44" s="71" t="n">
        <x:f>'Futures'!E32</x:f>
        <x:v>113.906444</x:v>
      </x:c>
      <x:c r="D44" s="72" t="n">
        <x:f>'Futures'!D32</x:f>
        <x:v>2</x:v>
      </x:c>
      <x:c r="E44" s="60"/>
      <x:c r="F44" s="60"/>
      <x:c r="G44" s="60"/>
      <x:c r="H44" s="60"/>
      <x:c r="I44" s="60"/>
      <x:c r="J44" s="60"/>
      <x:c r="K44" s="60"/>
      <x:c r="L44" s="60"/>
    </x:row>
    <x:row r="45">
      <x:c r="A45" s="70" t="str">
        <x:f>'Futures'!B34</x:f>
        <x:v>M12</x:v>
      </x:c>
      <x:c r="B45" s="71" t="n">
        <x:f>'Futures'!C34</x:f>
        <x:v>112.07</x:v>
      </x:c>
      <x:c r="C45" s="71" t="n">
        <x:f>'Futures'!E34</x:f>
        <x:v>108.315591</x:v>
      </x:c>
      <x:c r="D45" s="72" t="n">
        <x:f>'Futures'!D34</x:f>
        <x:v>1</x:v>
      </x:c>
      <x:c r="E45" s="60"/>
      <x:c r="F45" s="60"/>
      <x:c r="G45" s="60"/>
      <x:c r="H45" s="60"/>
      <x:c r="I45" s="60"/>
      <x:c r="J45" s="60"/>
      <x:c r="K45" s="60"/>
      <x:c r="L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</x:row>
    <x:row r="48">
      <x:c r="A48" s="51" t="str">
        <x:v>Intended exercise: compare the coarse CAL hedge with M01–M03 + Q2–Q4. Q1 remains an optional overlapping product. M04–M12 are deliberately illiquid and should not be selected merely because their prices look attractive.</x:v>
      </x:c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3"/>
    </x:row>
    <x:row r="49">
      <x:c r="A49" s="54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6"/>
    </x:row>
    <x:row r="50">
      <x:c r="A50" s="57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9"/>
    </x:row>
  </x:sheetData>
  <x:mergeCells>
    <x:mergeCell ref="A1:L1"/>
    <x:mergeCell ref="A3:B3"/>
    <x:mergeCell ref="D3:F3"/>
    <x:mergeCell ref="A11:C11"/>
    <x:mergeCell ref="A27:D27"/>
    <x:mergeCell ref="A48:L50"/>
  </x:mergeCells>
  <x:pageMargins left="0.7" right="0.7" top="0.75" bottom="0.75" header="0.3" footer="0.3"/>
  <x:drawing xmlns:r="http://schemas.openxmlformats.org/officeDocument/2006/relationships" r:id="R56576cecaed642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3" hidden="0" customWidth="1"/>
    <x:col min="5" max="5" width="11" hidden="0" customWidth="1"/>
    <x:col min="6" max="6" width="58" hidden="0" customWidth="1"/>
  </x:cols>
  <x:sheetData>
    <x:row r="1" ht="30" customHeight="1">
      <x:c r="A1" s="7" t="str">
        <x:v>Check</x:v>
      </x:c>
      <x:c r="B1" s="7" t="str">
        <x:v>Actual</x:v>
      </x:c>
      <x:c r="C1" s="7" t="str">
        <x:v>Expected</x:v>
      </x:c>
      <x:c r="D1" s="7" t="str">
        <x:v>Tolerance</x:v>
      </x:c>
      <x:c r="E1" s="7" t="str">
        <x:v>Status</x:v>
      </x:c>
      <x:c r="F1" s="7" t="str">
        <x:v>Notes</x:v>
      </x:c>
    </x:row>
    <x:row r="2">
      <x:c r="A2" s="9" t="str">
        <x:v>slp: row count</x:v>
      </x:c>
      <x:c r="B2" s="10" t="n">
        <x:v>35136</x:v>
      </x:c>
      <x:c r="C2" s="8" t="n">
        <x:v>35136</x:v>
      </x:c>
      <x:c r="D2" s="10" t="n">
        <x:v>0</x:v>
      </x:c>
      <x:c r="E2" s="8" t="str">
        <x:v>OK</x:v>
      </x:c>
      <x:c r="F2" s="9" t="str">
        <x:v>Full leap-year quarter-hour coverage.</x:v>
      </x:c>
    </x:row>
    <x:row r="3">
      <x:c r="A3" s="9" t="str">
        <x:v>slp: missing cells</x:v>
      </x:c>
      <x:c r="B3" s="10" t="n">
        <x:v>0</x:v>
      </x:c>
      <x:c r="C3" s="8" t="n">
        <x:v>0</x:v>
      </x:c>
      <x:c r="D3" s="10" t="n">
        <x:v>0</x:v>
      </x:c>
      <x:c r="E3" s="8" t="str">
        <x:v>OK</x:v>
      </x:c>
      <x:c r="F3" s="9" t="str">
        <x:v>No missing values allowed in teaching files.</x:v>
      </x:c>
    </x:row>
    <x:row r="4">
      <x:c r="A4" s="9" t="str">
        <x:v>slp: unique timestamps</x:v>
      </x:c>
      <x:c r="B4" s="10" t="n">
        <x:v>35136</x:v>
      </x:c>
      <x:c r="C4" s="8" t="n">
        <x:v>35136</x:v>
      </x:c>
      <x:c r="D4" s="10" t="n">
        <x:v>0</x:v>
      </x:c>
      <x:c r="E4" s="8" t="str">
        <x:v>OK</x:v>
      </x:c>
      <x:c r="F4" s="9" t="str">
        <x:v>UTC is the unambiguous primary key.</x:v>
      </x:c>
    </x:row>
    <x:row r="5">
      <x:c r="A5" s="9" t="str">
        <x:v>da: row count</x:v>
      </x:c>
      <x:c r="B5" s="10" t="n">
        <x:v>35136</x:v>
      </x:c>
      <x:c r="C5" s="8" t="n">
        <x:v>35136</x:v>
      </x:c>
      <x:c r="D5" s="10" t="n">
        <x:v>0</x:v>
      </x:c>
      <x:c r="E5" s="8" t="str">
        <x:v>OK</x:v>
      </x:c>
      <x:c r="F5" s="9" t="str">
        <x:v>Full leap-year quarter-hour coverage.</x:v>
      </x:c>
    </x:row>
    <x:row r="6">
      <x:c r="A6" s="9" t="str">
        <x:v>da: missing cells</x:v>
      </x:c>
      <x:c r="B6" s="10" t="n">
        <x:v>0</x:v>
      </x:c>
      <x:c r="C6" s="8" t="n">
        <x:v>0</x:v>
      </x:c>
      <x:c r="D6" s="10" t="n">
        <x:v>0</x:v>
      </x:c>
      <x:c r="E6" s="8" t="str">
        <x:v>OK</x:v>
      </x:c>
      <x:c r="F6" s="9" t="str">
        <x:v>No missing values allowed in teaching files.</x:v>
      </x:c>
    </x:row>
    <x:row r="7">
      <x:c r="A7" s="9" t="str">
        <x:v>da: unique timestamps</x:v>
      </x:c>
      <x:c r="B7" s="10" t="n">
        <x:v>35136</x:v>
      </x:c>
      <x:c r="C7" s="8" t="n">
        <x:v>35136</x:v>
      </x:c>
      <x:c r="D7" s="10" t="n">
        <x:v>0</x:v>
      </x:c>
      <x:c r="E7" s="8" t="str">
        <x:v>OK</x:v>
      </x:c>
      <x:c r="F7" s="9" t="str">
        <x:v>UTC is the unambiguous primary key.</x:v>
      </x:c>
    </x:row>
    <x:row r="8">
      <x:c r="A8" s="9" t="str">
        <x:v>imb: row count</x:v>
      </x:c>
      <x:c r="B8" s="10" t="n">
        <x:v>35136</x:v>
      </x:c>
      <x:c r="C8" s="8" t="n">
        <x:v>35136</x:v>
      </x:c>
      <x:c r="D8" s="10" t="n">
        <x:v>0</x:v>
      </x:c>
      <x:c r="E8" s="8" t="str">
        <x:v>OK</x:v>
      </x:c>
      <x:c r="F8" s="9" t="str">
        <x:v>Full leap-year quarter-hour coverage.</x:v>
      </x:c>
    </x:row>
    <x:row r="9">
      <x:c r="A9" s="9" t="str">
        <x:v>imb: missing cells</x:v>
      </x:c>
      <x:c r="B9" s="10" t="n">
        <x:v>0</x:v>
      </x:c>
      <x:c r="C9" s="8" t="n">
        <x:v>0</x:v>
      </x:c>
      <x:c r="D9" s="10" t="n">
        <x:v>0</x:v>
      </x:c>
      <x:c r="E9" s="8" t="str">
        <x:v>OK</x:v>
      </x:c>
      <x:c r="F9" s="9" t="str">
        <x:v>No missing values allowed in teaching files.</x:v>
      </x:c>
    </x:row>
    <x:row r="10">
      <x:c r="A10" s="9" t="str">
        <x:v>imb: unique timestamps</x:v>
      </x:c>
      <x:c r="B10" s="10" t="n">
        <x:v>35136</x:v>
      </x:c>
      <x:c r="C10" s="8" t="n">
        <x:v>35136</x:v>
      </x:c>
      <x:c r="D10" s="10" t="n">
        <x:v>0</x:v>
      </x:c>
      <x:c r="E10" s="8" t="str">
        <x:v>OK</x:v>
      </x:c>
      <x:c r="F10" s="9" t="str">
        <x:v>UTC is the unambiguous primary key.</x:v>
      </x:c>
    </x:row>
    <x:row r="11">
      <x:c r="A11" s="9" t="str">
        <x:v>shape: row count</x:v>
      </x:c>
      <x:c r="B11" s="10" t="n">
        <x:v>35136</x:v>
      </x:c>
      <x:c r="C11" s="8" t="n">
        <x:v>35136</x:v>
      </x:c>
      <x:c r="D11" s="10" t="n">
        <x:v>0</x:v>
      </x:c>
      <x:c r="E11" s="8" t="str">
        <x:v>OK</x:v>
      </x:c>
      <x:c r="F11" s="9" t="str">
        <x:v>Full leap-year quarter-hour coverage.</x:v>
      </x:c>
    </x:row>
    <x:row r="12">
      <x:c r="A12" s="9" t="str">
        <x:v>shape: missing cells</x:v>
      </x:c>
      <x:c r="B12" s="10" t="n">
        <x:v>0</x:v>
      </x:c>
      <x:c r="C12" s="8" t="n">
        <x:v>0</x:v>
      </x:c>
      <x:c r="D12" s="10" t="n">
        <x:v>0</x:v>
      </x:c>
      <x:c r="E12" s="8" t="str">
        <x:v>OK</x:v>
      </x:c>
      <x:c r="F12" s="9" t="str">
        <x:v>No missing values allowed in teaching files.</x:v>
      </x:c>
    </x:row>
    <x:row r="13">
      <x:c r="A13" s="9" t="str">
        <x:v>shape: unique timestamps</x:v>
      </x:c>
      <x:c r="B13" s="10" t="n">
        <x:v>35136</x:v>
      </x:c>
      <x:c r="C13" s="8" t="n">
        <x:v>35136</x:v>
      </x:c>
      <x:c r="D13" s="10" t="n">
        <x:v>0</x:v>
      </x:c>
      <x:c r="E13" s="8" t="str">
        <x:v>OK</x:v>
      </x:c>
      <x:c r="F13" s="9" t="str">
        <x:v>UTC is the unambiguous primary key.</x:v>
      </x:c>
    </x:row>
    <x:row r="14">
      <x:c r="A14" s="9" t="str">
        <x:v>HB annual normalization (kWh)</x:v>
      </x:c>
      <x:c r="B14" s="10" t="n">
        <x:v>1000000</x:v>
      </x:c>
      <x:c r="C14" s="8" t="n">
        <x:v>1000000</x:v>
      </x:c>
      <x:c r="D14" s="10" t="n">
        <x:v>0.01</x:v>
      </x:c>
      <x:c r="E14" s="8" t="str">
        <x:v>OK</x:v>
      </x:c>
      <x:c r="F14" s="9" t="str">
        <x:v>Each official SLP represents 1,000 MWh per year.</x:v>
      </x:c>
    </x:row>
    <x:row r="15">
      <x:c r="A15" s="9" t="str">
        <x:v>GB annual normalization (kWh)</x:v>
      </x:c>
      <x:c r="B15" s="10" t="n">
        <x:v>1000000</x:v>
      </x:c>
      <x:c r="C15" s="8" t="n">
        <x:v>1000000</x:v>
      </x:c>
      <x:c r="D15" s="10" t="n">
        <x:v>0.01</x:v>
      </x:c>
      <x:c r="E15" s="8" t="str">
        <x:v>OK</x:v>
      </x:c>
      <x:c r="F15" s="9" t="str">
        <x:v>Each official SLP represents 1,000 MWh per year.</x:v>
      </x:c>
    </x:row>
    <x:row r="16">
      <x:c r="A16" s="9" t="str">
        <x:v>LB annual normalization (kWh)</x:v>
      </x:c>
      <x:c r="B16" s="10" t="n">
        <x:v>1000000</x:v>
      </x:c>
      <x:c r="C16" s="8" t="n">
        <x:v>1000000</x:v>
      </x:c>
      <x:c r="D16" s="10" t="n">
        <x:v>0.01</x:v>
      </x:c>
      <x:c r="E16" s="8" t="str">
        <x:v>OK</x:v>
      </x:c>
      <x:c r="F16" s="9" t="str">
        <x:v>Each official SLP represents 1,000 MWh per year.</x:v>
      </x:c>
    </x:row>
    <x:row r="17">
      <x:c r="A17" s="9" t="str">
        <x:v>Shape-factor annual mean</x:v>
      </x:c>
      <x:c r="B17" s="10" t="n">
        <x:v>1</x:v>
      </x:c>
      <x:c r="C17" s="8" t="n">
        <x:v>1</x:v>
      </x:c>
      <x:c r="D17" s="10" t="n">
        <x:v>0.000001</x:v>
      </x:c>
      <x:c r="E17" s="8" t="str">
        <x:v>OK</x:v>
      </x:c>
      <x:c r="F17" s="9" t="str">
        <x:v>Derived historical factor is normalized to 1.</x:v>
      </x:c>
    </x:row>
    <x:row r="18">
      <x:c r="A18" s="9" t="str">
        <x:v>Liquid-product mean ex-post gain (EUR/MWh)</x:v>
      </x:c>
      <x:c r="B18" s="10" t="n">
        <x:v>1.2508</x:v>
      </x:c>
      <x:c r="C18" s="8" t="n">
        <x:v>1.25</x:v>
      </x:c>
      <x:c r="D18" s="10" t="n">
        <x:v>0.02</x:v>
      </x:c>
      <x:c r="E18" s="8" t="str">
        <x:v>OK</x:v>
      </x:c>
      <x:c r="F18" s="9" t="str">
        <x:v>Synthetic quotes target a small positive teaching-case gain.</x:v>
      </x:c>
    </x:row>
    <x:row r="19">
      <x:c r="A19" s="9" t="str">
        <x:v>Mixed granular set: minimum gain (EUR/MWh)</x:v>
      </x:c>
      <x:c r="B19" s="10" t="n">
        <x:v>1.2458</x:v>
      </x:c>
      <x:c r="C19" s="8" t="str">
        <x:v>&gt; 0</x:v>
      </x:c>
      <x:c r="D19" s="10" t="str"/>
      <x:c r="E19" s="8" t="str">
        <x:v>OK</x:v>
      </x:c>
      <x:c r="F19" s="9" t="str">
        <x:v>M01-M03 and Q2-Q4 all deliver positive ex-post payoff.</x:v>
      </x:c>
    </x:row>
  </x:sheetData>
  <x:conditionalFormatting sqref="E2:E19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bde6845585247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23" hidden="0" customWidth="1"/>
    <x:col min="4" max="4" width="17" hidden="0" customWidth="1"/>
    <x:col min="5" max="5" width="28" hidden="0" customWidth="1"/>
    <x:col min="6" max="6" width="22" hidden="0" customWidth="1"/>
  </x:cols>
  <x:sheetData>
    <x:row r="1" ht="30" customHeight="1">
      <x:c r="A1" s="7" t="str">
        <x:v>Load type</x:v>
      </x:c>
      <x:c r="B1" s="7" t="str">
        <x:v>Delivery period</x:v>
      </x:c>
      <x:c r="C1" s="7" t="str">
        <x:v>Synthetic forward (EUR/MWh)</x:v>
      </x:c>
      <x:c r="D1" s="7" t="str">
        <x:v>Market activity</x:v>
      </x:c>
      <x:c r="E1" s="7" t="str">
        <x:v>Realized DA block average (EUR/MWh)</x:v>
      </x:c>
      <x:c r="F1" s="7" t="str">
        <x:v>Ex-post gain (EUR/MWh)</x:v>
      </x:c>
    </x:row>
    <x:row r="2">
      <x:c r="A2" s="8" t="str">
        <x:v>BASE</x:v>
      </x:c>
      <x:c r="B2" s="8" t="str">
        <x:v>CAL</x:v>
      </x:c>
      <x:c r="C2" s="11" t="n">
        <x:v>77.26</x:v>
      </x:c>
      <x:c r="D2" s="12" t="n">
        <x:v>5000</x:v>
      </x:c>
      <x:c r="E2" s="11" t="n">
        <x:v>78.512033</x:v>
      </x:c>
      <x:c r="F2" s="11" t="n">
        <x:v>1.252033</x:v>
      </x:c>
    </x:row>
    <x:row r="3">
      <x:c r="A3" s="8" t="str">
        <x:v>PEAK</x:v>
      </x:c>
      <x:c r="B3" s="8" t="str">
        <x:v>CAL</x:v>
      </x:c>
      <x:c r="C3" s="11" t="n">
        <x:v>86.6</x:v>
      </x:c>
      <x:c r="D3" s="12" t="n">
        <x:v>1400</x:v>
      </x:c>
      <x:c r="E3" s="11" t="n">
        <x:v>87.854917</x:v>
      </x:c>
      <x:c r="F3" s="11" t="n">
        <x:v>1.254917</x:v>
      </x:c>
    </x:row>
    <x:row r="4">
      <x:c r="A4" s="8" t="str">
        <x:v>BASE</x:v>
      </x:c>
      <x:c r="B4" s="8" t="str">
        <x:v>Q1</x:v>
      </x:c>
      <x:c r="C4" s="11" t="n">
        <x:v>66.42</x:v>
      </x:c>
      <x:c r="D4" s="12" t="n">
        <x:v>3000</x:v>
      </x:c>
      <x:c r="E4" s="11" t="n">
        <x:v>67.673962</x:v>
      </x:c>
      <x:c r="F4" s="11" t="n">
        <x:v>1.253962</x:v>
      </x:c>
    </x:row>
    <x:row r="5">
      <x:c r="A5" s="8" t="str">
        <x:v>PEAK</x:v>
      </x:c>
      <x:c r="B5" s="8" t="str">
        <x:v>Q1</x:v>
      </x:c>
      <x:c r="C5" s="11" t="n">
        <x:v>77.7</x:v>
      </x:c>
      <x:c r="D5" s="12" t="n">
        <x:v>840</x:v>
      </x:c>
      <x:c r="E5" s="11" t="n">
        <x:v>78.947949</x:v>
      </x:c>
      <x:c r="F5" s="11" t="n">
        <x:v>1.247949</x:v>
      </x:c>
    </x:row>
    <x:row r="6">
      <x:c r="A6" s="8" t="str">
        <x:v>BASE</x:v>
      </x:c>
      <x:c r="B6" s="8" t="str">
        <x:v>Q2</x:v>
      </x:c>
      <x:c r="C6" s="11" t="n">
        <x:v>66.23</x:v>
      </x:c>
      <x:c r="D6" s="12" t="n">
        <x:v>2200</x:v>
      </x:c>
      <x:c r="E6" s="11" t="n">
        <x:v>67.48315</x:v>
      </x:c>
      <x:c r="F6" s="11" t="n">
        <x:v>1.25315</x:v>
      </x:c>
    </x:row>
    <x:row r="7">
      <x:c r="A7" s="8" t="str">
        <x:v>PEAK</x:v>
      </x:c>
      <x:c r="B7" s="8" t="str">
        <x:v>Q2</x:v>
      </x:c>
      <x:c r="C7" s="11" t="n">
        <x:v>64.76</x:v>
      </x:c>
      <x:c r="D7" s="12" t="n">
        <x:v>616</x:v>
      </x:c>
      <x:c r="E7" s="11" t="n">
        <x:v>66.009487</x:v>
      </x:c>
      <x:c r="F7" s="11" t="n">
        <x:v>1.249487</x:v>
      </x:c>
    </x:row>
    <x:row r="8">
      <x:c r="A8" s="8" t="str">
        <x:v>BASE</x:v>
      </x:c>
      <x:c r="B8" s="8" t="str">
        <x:v>Q3</x:v>
      </x:c>
      <x:c r="C8" s="11" t="n">
        <x:v>74.74</x:v>
      </x:c>
      <x:c r="D8" s="12" t="n">
        <x:v>1600</x:v>
      </x:c>
      <x:c r="E8" s="11" t="n">
        <x:v>75.993148</x:v>
      </x:c>
      <x:c r="F8" s="11" t="n">
        <x:v>1.253148</x:v>
      </x:c>
    </x:row>
    <x:row r="9">
      <x:c r="A9" s="8" t="str">
        <x:v>PEAK</x:v>
      </x:c>
      <x:c r="B9" s="8" t="str">
        <x:v>Q3</x:v>
      </x:c>
      <x:c r="C9" s="11" t="n">
        <x:v>69.07</x:v>
      </x:c>
      <x:c r="D9" s="12" t="n">
        <x:v>448</x:v>
      </x:c>
      <x:c r="E9" s="11" t="n">
        <x:v>70.323371</x:v>
      </x:c>
      <x:c r="F9" s="11" t="n">
        <x:v>1.253371</x:v>
      </x:c>
    </x:row>
    <x:row r="10">
      <x:c r="A10" s="8" t="str">
        <x:v>BASE</x:v>
      </x:c>
      <x:c r="B10" s="8" t="str">
        <x:v>Q4</x:v>
      </x:c>
      <x:c r="C10" s="11" t="n">
        <x:v>101.39</x:v>
      </x:c>
      <x:c r="D10" s="12" t="n">
        <x:v>1400</x:v>
      </x:c>
      <x:c r="E10" s="11" t="n">
        <x:v>102.64435</x:v>
      </x:c>
      <x:c r="F10" s="11" t="n">
        <x:v>1.25435</x:v>
      </x:c>
    </x:row>
    <x:row r="11">
      <x:c r="A11" s="8" t="str">
        <x:v>PEAK</x:v>
      </x:c>
      <x:c r="B11" s="8" t="str">
        <x:v>Q4</x:v>
      </x:c>
      <x:c r="C11" s="11" t="n">
        <x:v>134.42</x:v>
      </x:c>
      <x:c r="D11" s="12" t="n">
        <x:v>392</x:v>
      </x:c>
      <x:c r="E11" s="11" t="n">
        <x:v>135.672917</x:v>
      </x:c>
      <x:c r="F11" s="11" t="n">
        <x:v>1.252917</x:v>
      </x:c>
    </x:row>
    <x:row r="12">
      <x:c r="A12" s="8" t="str">
        <x:v>BASE</x:v>
      </x:c>
      <x:c r="B12" s="8" t="str">
        <x:v>M01</x:v>
      </x:c>
      <x:c r="C12" s="11" t="n">
        <x:v>75.32</x:v>
      </x:c>
      <x:c r="D12" s="12" t="n">
        <x:v>900</x:v>
      </x:c>
      <x:c r="E12" s="11" t="n">
        <x:v>76.571142</x:v>
      </x:c>
      <x:c r="F12" s="11" t="n">
        <x:v>1.251142</x:v>
      </x:c>
    </x:row>
    <x:row r="13">
      <x:c r="A13" s="8" t="str">
        <x:v>PEAK</x:v>
      </x:c>
      <x:c r="B13" s="8" t="str">
        <x:v>M01</x:v>
      </x:c>
      <x:c r="C13" s="11" t="n">
        <x:v>88.68</x:v>
      </x:c>
      <x:c r="D13" s="12" t="n">
        <x:v>252</x:v>
      </x:c>
      <x:c r="E13" s="11" t="n">
        <x:v>89.926014</x:v>
      </x:c>
      <x:c r="F13" s="11" t="n">
        <x:v>1.246014</x:v>
      </x:c>
    </x:row>
    <x:row r="14">
      <x:c r="A14" s="8" t="str">
        <x:v>BASE</x:v>
      </x:c>
      <x:c r="B14" s="8" t="str">
        <x:v>M02</x:v>
      </x:c>
      <x:c r="C14" s="11" t="n">
        <x:v>60.09</x:v>
      </x:c>
      <x:c r="D14" s="12" t="n">
        <x:v>800</x:v>
      </x:c>
      <x:c r="E14" s="11" t="n">
        <x:v>61.335848</x:v>
      </x:c>
      <x:c r="F14" s="11" t="n">
        <x:v>1.245848</x:v>
      </x:c>
    </x:row>
    <x:row r="15">
      <x:c r="A15" s="8" t="str">
        <x:v>PEAK</x:v>
      </x:c>
      <x:c r="B15" s="8" t="str">
        <x:v>M02</x:v>
      </x:c>
      <x:c r="C15" s="11" t="n">
        <x:v>70.59</x:v>
      </x:c>
      <x:c r="D15" s="12" t="n">
        <x:v>224</x:v>
      </x:c>
      <x:c r="E15" s="11" t="n">
        <x:v>71.83619</x:v>
      </x:c>
      <x:c r="F15" s="11" t="n">
        <x:v>1.24619</x:v>
      </x:c>
    </x:row>
    <x:row r="16">
      <x:c r="A16" s="8" t="str">
        <x:v>BASE</x:v>
      </x:c>
      <x:c r="B16" s="8" t="str">
        <x:v>M03</x:v>
      </x:c>
      <x:c r="C16" s="11" t="n">
        <x:v>63.45</x:v>
      </x:c>
      <x:c r="D16" s="12" t="n">
        <x:v>650</x:v>
      </x:c>
      <x:c r="E16" s="11" t="n">
        <x:v>64.701992</x:v>
      </x:c>
      <x:c r="F16" s="11" t="n">
        <x:v>1.251992</x:v>
      </x:c>
    </x:row>
    <x:row r="17">
      <x:c r="A17" s="8" t="str">
        <x:v>PEAK</x:v>
      </x:c>
      <x:c r="B17" s="8" t="str">
        <x:v>M03</x:v>
      </x:c>
      <x:c r="C17" s="11" t="n">
        <x:v>72.79</x:v>
      </x:c>
      <x:c r="D17" s="12" t="n">
        <x:v>182</x:v>
      </x:c>
      <x:c r="E17" s="11" t="n">
        <x:v>74.036111</x:v>
      </x:c>
      <x:c r="F17" s="11" t="n">
        <x:v>1.246111</x:v>
      </x:c>
    </x:row>
    <x:row r="18">
      <x:c r="A18" s="8" t="str">
        <x:v>BASE</x:v>
      </x:c>
      <x:c r="B18" s="8" t="str">
        <x:v>M04</x:v>
      </x:c>
      <x:c r="C18" s="11" t="n">
        <x:v>67.11</x:v>
      </x:c>
      <x:c r="D18" s="12" t="n">
        <x:v>10</x:v>
      </x:c>
      <x:c r="E18" s="11" t="n">
        <x:v>62.360819</x:v>
      </x:c>
      <x:c r="F18" s="11" t="n">
        <x:v>-4.749181</x:v>
      </x:c>
    </x:row>
    <x:row r="19">
      <x:c r="A19" s="8" t="str">
        <x:v>PEAK</x:v>
      </x:c>
      <x:c r="B19" s="8" t="str">
        <x:v>M04</x:v>
      </x:c>
      <x:c r="C19" s="11" t="n">
        <x:v>72.56</x:v>
      </x:c>
      <x:c r="D19" s="12" t="n">
        <x:v>3</x:v>
      </x:c>
      <x:c r="E19" s="11" t="n">
        <x:v>66.913826</x:v>
      </x:c>
      <x:c r="F19" s="11" t="n">
        <x:v>-5.646174</x:v>
      </x:c>
    </x:row>
    <x:row r="20">
      <x:c r="A20" s="8" t="str">
        <x:v>BASE</x:v>
      </x:c>
      <x:c r="B20" s="8" t="str">
        <x:v>M05</x:v>
      </x:c>
      <x:c r="C20" s="11" t="n">
        <x:v>60.96</x:v>
      </x:c>
      <x:c r="D20" s="12" t="n">
        <x:v>8</x:v>
      </x:c>
      <x:c r="E20" s="11" t="n">
        <x:v>67.210013</x:v>
      </x:c>
      <x:c r="F20" s="11" t="n">
        <x:v>6.250013</x:v>
      </x:c>
    </x:row>
    <x:row r="21">
      <x:c r="A21" s="8" t="str">
        <x:v>PEAK</x:v>
      </x:c>
      <x:c r="B21" s="8" t="str">
        <x:v>M05</x:v>
      </x:c>
      <x:c r="C21" s="11" t="n">
        <x:v>52.4</x:v>
      </x:c>
      <x:c r="D21" s="12" t="n">
        <x:v>2</x:v>
      </x:c>
      <x:c r="E21" s="11" t="n">
        <x:v>59.397428</x:v>
      </x:c>
      <x:c r="F21" s="11" t="n">
        <x:v>6.997428</x:v>
      </x:c>
    </x:row>
    <x:row r="22">
      <x:c r="A22" s="8" t="str">
        <x:v>BASE</x:v>
      </x:c>
      <x:c r="B22" s="8" t="str">
        <x:v>M06</x:v>
      </x:c>
      <x:c r="C22" s="11" t="n">
        <x:v>79.64</x:v>
      </x:c>
      <x:c r="D22" s="12" t="n">
        <x:v>7</x:v>
      </x:c>
      <x:c r="E22" s="11" t="n">
        <x:v>72.887722</x:v>
      </x:c>
      <x:c r="F22" s="11" t="n">
        <x:v>-6.752278</x:v>
      </x:c>
    </x:row>
    <x:row r="23">
      <x:c r="A23" s="8" t="str">
        <x:v>PEAK</x:v>
      </x:c>
      <x:c r="B23" s="8" t="str">
        <x:v>M06</x:v>
      </x:c>
      <x:c r="C23" s="11" t="n">
        <x:v>80.57</x:v>
      </x:c>
      <x:c r="D23" s="12" t="n">
        <x:v>2</x:v>
      </x:c>
      <x:c r="E23" s="11" t="n">
        <x:v>72.618583</x:v>
      </x:c>
      <x:c r="F23" s="11" t="n">
        <x:v>-7.951417</x:v>
      </x:c>
    </x:row>
    <x:row r="24">
      <x:c r="A24" s="8" t="str">
        <x:v>BASE</x:v>
      </x:c>
      <x:c r="B24" s="8" t="str">
        <x:v>M07</x:v>
      </x:c>
      <x:c r="C24" s="11" t="n">
        <x:v>59.45</x:v>
      </x:c>
      <x:c r="D24" s="12" t="n">
        <x:v>6</x:v>
      </x:c>
      <x:c r="E24" s="11" t="n">
        <x:v>67.69703</x:v>
      </x:c>
      <x:c r="F24" s="11" t="n">
        <x:v>8.24703</x:v>
      </x:c>
    </x:row>
    <x:row r="25">
      <x:c r="A25" s="8" t="str">
        <x:v>PEAK</x:v>
      </x:c>
      <x:c r="B25" s="8" t="str">
        <x:v>M07</x:v>
      </x:c>
      <x:c r="C25" s="11" t="n">
        <x:v>49.47</x:v>
      </x:c>
      <x:c r="D25" s="12" t="n">
        <x:v>2</x:v>
      </x:c>
      <x:c r="E25" s="11" t="n">
        <x:v>58.772138</x:v>
      </x:c>
      <x:c r="F25" s="11" t="n">
        <x:v>9.302138</x:v>
      </x:c>
    </x:row>
    <x:row r="26">
      <x:c r="A26" s="8" t="str">
        <x:v>BASE</x:v>
      </x:c>
      <x:c r="B26" s="8" t="str">
        <x:v>M08</x:v>
      </x:c>
      <x:c r="C26" s="11" t="n">
        <x:v>84.8</x:v>
      </x:c>
      <x:c r="D26" s="12" t="n">
        <x:v>5</x:v>
      </x:c>
      <x:c r="E26" s="11" t="n">
        <x:v>82.047177</x:v>
      </x:c>
      <x:c r="F26" s="11" t="n">
        <x:v>-2.752823</x:v>
      </x:c>
    </x:row>
    <x:row r="27">
      <x:c r="A27" s="8" t="str">
        <x:v>PEAK</x:v>
      </x:c>
      <x:c r="B27" s="8" t="str">
        <x:v>M08</x:v>
      </x:c>
      <x:c r="C27" s="11" t="n">
        <x:v>74.16</x:v>
      </x:c>
      <x:c r="D27" s="12" t="n">
        <x:v>1</x:v>
      </x:c>
      <x:c r="E27" s="11" t="n">
        <x:v>70.809545</x:v>
      </x:c>
      <x:c r="F27" s="11" t="n">
        <x:v>-3.350455</x:v>
      </x:c>
    </x:row>
    <x:row r="28">
      <x:c r="A28" s="8" t="str">
        <x:v>BASE</x:v>
      </x:c>
      <x:c r="B28" s="8" t="str">
        <x:v>M09</x:v>
      </x:c>
      <x:c r="C28" s="11" t="n">
        <x:v>73.06</x:v>
      </x:c>
      <x:c r="D28" s="12" t="n">
        <x:v>4</x:v>
      </x:c>
      <x:c r="E28" s="11" t="n">
        <x:v>78.309972</x:v>
      </x:c>
      <x:c r="F28" s="11" t="n">
        <x:v>5.249972</x:v>
      </x:c>
    </x:row>
    <x:row r="29">
      <x:c r="A29" s="8" t="str">
        <x:v>PEAK</x:v>
      </x:c>
      <x:c r="B29" s="8" t="str">
        <x:v>M09</x:v>
      </x:c>
      <x:c r="C29" s="11" t="n">
        <x:v>76.62</x:v>
      </x:c>
      <x:c r="D29" s="12" t="n">
        <x:v>1</x:v>
      </x:c>
      <x:c r="E29" s="11" t="n">
        <x:v>82.465397</x:v>
      </x:c>
      <x:c r="F29" s="11" t="n">
        <x:v>5.845397</x:v>
      </x:c>
    </x:row>
    <x:row r="30">
      <x:c r="A30" s="8" t="str">
        <x:v>BASE</x:v>
      </x:c>
      <x:c r="B30" s="8" t="str">
        <x:v>M10</x:v>
      </x:c>
      <x:c r="C30" s="11" t="n">
        <x:v>91.85</x:v>
      </x:c>
      <x:c r="D30" s="12" t="n">
        <x:v>3</x:v>
      </x:c>
      <x:c r="E30" s="11" t="n">
        <x:v>86.09655</x:v>
      </x:c>
      <x:c r="F30" s="11" t="n">
        <x:v>-5.75345</x:v>
      </x:c>
    </x:row>
    <x:row r="31">
      <x:c r="A31" s="8" t="str">
        <x:v>PEAK</x:v>
      </x:c>
      <x:c r="B31" s="8" t="str">
        <x:v>M10</x:v>
      </x:c>
      <x:c r="C31" s="11" t="n">
        <x:v>111.59</x:v>
      </x:c>
      <x:c r="D31" s="12" t="n">
        <x:v>1</x:v>
      </x:c>
      <x:c r="E31" s="11" t="n">
        <x:v>104.790725</x:v>
      </x:c>
      <x:c r="F31" s="11" t="n">
        <x:v>-6.799275</x:v>
      </x:c>
    </x:row>
    <x:row r="32">
      <x:c r="A32" s="8" t="str">
        <x:v>BASE</x:v>
      </x:c>
      <x:c r="B32" s="8" t="str">
        <x:v>M11</x:v>
      </x:c>
      <x:c r="C32" s="11" t="n">
        <x:v>106.66</x:v>
      </x:c>
      <x:c r="D32" s="12" t="n">
        <x:v>2</x:v>
      </x:c>
      <x:c r="E32" s="11" t="n">
        <x:v>113.906444</x:v>
      </x:c>
      <x:c r="F32" s="11" t="n">
        <x:v>7.246444</x:v>
      </x:c>
    </x:row>
    <x:row r="33">
      <x:c r="A33" s="8" t="str">
        <x:v>PEAK</x:v>
      </x:c>
      <x:c r="B33" s="8" t="str">
        <x:v>M11</x:v>
      </x:c>
      <x:c r="C33" s="11" t="n">
        <x:v>140.84</x:v>
      </x:c>
      <x:c r="D33" s="12" t="n">
        <x:v>1</x:v>
      </x:c>
      <x:c r="E33" s="11" t="n">
        <x:v>148.989881</x:v>
      </x:c>
      <x:c r="F33" s="11" t="n">
        <x:v>8.149881</x:v>
      </x:c>
    </x:row>
    <x:row r="34">
      <x:c r="A34" s="8" t="str">
        <x:v>BASE</x:v>
      </x:c>
      <x:c r="B34" s="8" t="str">
        <x:v>M12</x:v>
      </x:c>
      <x:c r="C34" s="11" t="n">
        <x:v>112.07</x:v>
      </x:c>
      <x:c r="D34" s="12" t="n">
        <x:v>1</x:v>
      </x:c>
      <x:c r="E34" s="11" t="n">
        <x:v>108.315591</x:v>
      </x:c>
      <x:c r="F34" s="11" t="n">
        <x:v>-3.754409</x:v>
      </x:c>
    </x:row>
    <x:row r="35">
      <x:c r="A35" s="8" t="str">
        <x:v>PEAK</x:v>
      </x:c>
      <x:c r="B35" s="8" t="str">
        <x:v>M12</x:v>
      </x:c>
      <x:c r="C35" s="11" t="n">
        <x:v>159.75</x:v>
      </x:c>
      <x:c r="D35" s="12" t="n">
        <x:v>1</x:v>
      </x:c>
      <x:c r="E35" s="11" t="n">
        <x:v>155.247197</x:v>
      </x:c>
      <x:c r="F35" s="11" t="n">
        <x:v>-4.502803</x:v>
      </x:c>
    </x:row>
  </x:sheetData>
  <x:conditionalFormatting sqref="D2:D35">
    <x:cfRule type="cellIs" dxfId="2" priority="1" operator="lessThanOrEqual">
      <x:formula>10</x:formula>
    </x:cfRule>
    <x:cfRule type="cellIs" dxfId="3" priority="2" operator="greaterThan">
      <x:formula>100</x:formula>
    </x:cfRule>
  </x:conditionalFormatting>
  <x:conditionalFormatting sqref="F2:F35">
    <x:cfRule type="cellIs" dxfId="4" priority="3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aaf38a08b549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</x:cols>
  <x:sheetData>
    <x:row r="1" ht="30" customHeight="1">
      <x:c r="A1" s="7" t="str">
        <x:v>Quarter-hour index</x:v>
      </x:c>
      <x:c r="B1" s="7" t="str">
        <x:v>HB normalized kWh</x:v>
      </x:c>
      <x:c r="C1" s="7" t="str">
        <x:v>GB normalized kWh</x:v>
      </x:c>
      <x:c r="D1" s="7" t="str">
        <x:v>LB normalized kWh</x:v>
      </x:c>
      <x:c r="E1" s="7" t="str">
        <x:v>Local hour</x:v>
      </x:c>
    </x:row>
    <x:row r="2">
      <x:c r="A2" s="13" t="n">
        <x:v>0</x:v>
      </x:c>
      <x:c r="B2" s="14" t="n">
        <x:v>19.775011</x:v>
      </x:c>
      <x:c r="C2" s="14" t="n">
        <x:v>17.294951</x:v>
      </x:c>
      <x:c r="D2" s="14" t="n">
        <x:v>17.236628</x:v>
      </x:c>
      <x:c r="E2" s="15" t="n">
        <x:v>0</x:v>
      </x:c>
    </x:row>
    <x:row r="3">
      <x:c r="A3" s="13" t="n">
        <x:v>1</x:v>
      </x:c>
      <x:c r="B3" s="14" t="n">
        <x:v>17.992973</x:v>
      </x:c>
      <x:c r="C3" s="14" t="n">
        <x:v>16.821773</x:v>
      </x:c>
      <x:c r="D3" s="14" t="n">
        <x:v>16.573503</x:v>
      </x:c>
      <x:c r="E3" s="15" t="n">
        <x:v>0.25</x:v>
      </x:c>
    </x:row>
    <x:row r="4">
      <x:c r="A4" s="13" t="n">
        <x:v>2</x:v>
      </x:c>
      <x:c r="B4" s="14" t="n">
        <x:v>16.43659</x:v>
      </x:c>
      <x:c r="C4" s="14" t="n">
        <x:v>16.320861</x:v>
      </x:c>
      <x:c r="D4" s="14" t="n">
        <x:v>16.025068</x:v>
      </x:c>
      <x:c r="E4" s="15" t="n">
        <x:v>0.5</x:v>
      </x:c>
    </x:row>
    <x:row r="5">
      <x:c r="A5" s="13" t="n">
        <x:v>3</x:v>
      </x:c>
      <x:c r="B5" s="14" t="n">
        <x:v>15.104926</x:v>
      </x:c>
      <x:c r="C5" s="14" t="n">
        <x:v>15.825473</x:v>
      </x:c>
      <x:c r="D5" s="14" t="n">
        <x:v>15.575421</x:v>
      </x:c>
      <x:c r="E5" s="15" t="n">
        <x:v>0.75</x:v>
      </x:c>
    </x:row>
    <x:row r="6">
      <x:c r="A6" s="13" t="n">
        <x:v>4</x:v>
      </x:c>
      <x:c r="B6" s="14" t="n">
        <x:v>14.020232</x:v>
      </x:c>
      <x:c r="C6" s="14" t="n">
        <x:v>15.322814</x:v>
      </x:c>
      <x:c r="D6" s="14" t="n">
        <x:v>15.199702</x:v>
      </x:c>
      <x:c r="E6" s="15" t="n">
        <x:v>1</x:v>
      </x:c>
    </x:row>
    <x:row r="7">
      <x:c r="A7" s="13" t="n">
        <x:v>5</x:v>
      </x:c>
      <x:c r="B7" s="14" t="n">
        <x:v>13.160686</x:v>
      </x:c>
      <x:c r="C7" s="14" t="n">
        <x:v>14.847</x:v>
      </x:c>
      <x:c r="D7" s="14" t="n">
        <x:v>14.895101</x:v>
      </x:c>
      <x:c r="E7" s="15" t="n">
        <x:v>1.25</x:v>
      </x:c>
    </x:row>
    <x:row r="8">
      <x:c r="A8" s="13" t="n">
        <x:v>6</x:v>
      </x:c>
      <x:c r="B8" s="14" t="n">
        <x:v>12.491806</x:v>
      </x:c>
      <x:c r="C8" s="14" t="n">
        <x:v>14.401948</x:v>
      </x:c>
      <x:c r="D8" s="14" t="n">
        <x:v>14.644669</x:v>
      </x:c>
      <x:c r="E8" s="15" t="n">
        <x:v>1.5</x:v>
      </x:c>
    </x:row>
    <x:row r="9">
      <x:c r="A9" s="13" t="n">
        <x:v>7</x:v>
      </x:c>
      <x:c r="B9" s="14" t="n">
        <x:v>11.976519</x:v>
      </x:c>
      <x:c r="C9" s="14" t="n">
        <x:v>14.004691</x:v>
      </x:c>
      <x:c r="D9" s="14" t="n">
        <x:v>14.436347</x:v>
      </x:c>
      <x:c r="E9" s="15" t="n">
        <x:v>1.75</x:v>
      </x:c>
    </x:row>
    <x:row r="10">
      <x:c r="A10" s="13" t="n">
        <x:v>8</x:v>
      </x:c>
      <x:c r="B10" s="14" t="n">
        <x:v>11.595784</x:v>
      </x:c>
      <x:c r="C10" s="14" t="n">
        <x:v>13.676019</x:v>
      </x:c>
      <x:c r="D10" s="14" t="n">
        <x:v>14.270407</x:v>
      </x:c>
      <x:c r="E10" s="15" t="n">
        <x:v>2</x:v>
      </x:c>
    </x:row>
    <x:row r="11">
      <x:c r="A11" s="13" t="n">
        <x:v>9</x:v>
      </x:c>
      <x:c r="B11" s="14" t="n">
        <x:v>11.315197</x:v>
      </x:c>
      <x:c r="C11" s="14" t="n">
        <x:v>13.415844</x:v>
      </x:c>
      <x:c r="D11" s="14" t="n">
        <x:v>14.125571</x:v>
      </x:c>
      <x:c r="E11" s="15" t="n">
        <x:v>2.25</x:v>
      </x:c>
    </x:row>
    <x:row r="12">
      <x:c r="A12" s="13" t="n">
        <x:v>10</x:v>
      </x:c>
      <x:c r="B12" s="14" t="n">
        <x:v>11.114675</x:v>
      </x:c>
      <x:c r="C12" s="14" t="n">
        <x:v>13.219467</x:v>
      </x:c>
      <x:c r="D12" s="14" t="n">
        <x:v>13.995407</x:v>
      </x:c>
      <x:c r="E12" s="15" t="n">
        <x:v>2.5</x:v>
      </x:c>
    </x:row>
    <x:row r="13">
      <x:c r="A13" s="13" t="n">
        <x:v>11</x:v>
      </x:c>
      <x:c r="B13" s="14" t="n">
        <x:v>10.956536</x:v>
      </x:c>
      <x:c r="C13" s="14" t="n">
        <x:v>13.105117</x:v>
      </x:c>
      <x:c r="D13" s="14" t="n">
        <x:v>13.87465</x:v>
      </x:c>
      <x:c r="E13" s="15" t="n">
        <x:v>2.75</x:v>
      </x:c>
    </x:row>
    <x:row r="14">
      <x:c r="A14" s="13" t="n">
        <x:v>12</x:v>
      </x:c>
      <x:c r="B14" s="14" t="n">
        <x:v>10.822609</x:v>
      </x:c>
      <x:c r="C14" s="14" t="n">
        <x:v>13.05315</x:v>
      </x:c>
      <x:c r="D14" s="14" t="n">
        <x:v>13.740811</x:v>
      </x:c>
      <x:c r="E14" s="15" t="n">
        <x:v>3</x:v>
      </x:c>
    </x:row>
    <x:row r="15">
      <x:c r="A15" s="13" t="n">
        <x:v>13</x:v>
      </x:c>
      <x:c r="B15" s="14" t="n">
        <x:v>10.725396</x:v>
      </x:c>
      <x:c r="C15" s="14" t="n">
        <x:v>13.10629</x:v>
      </x:c>
      <x:c r="D15" s="14" t="n">
        <x:v>13.61147</x:v>
      </x:c>
      <x:c r="E15" s="15" t="n">
        <x:v>3.25</x:v>
      </x:c>
    </x:row>
    <x:row r="16">
      <x:c r="A16" s="13" t="n">
        <x:v>14</x:v>
      </x:c>
      <x:c r="B16" s="14" t="n">
        <x:v>10.64462</x:v>
      </x:c>
      <x:c r="C16" s="14" t="n">
        <x:v>13.301505</x:v>
      </x:c>
      <x:c r="D16" s="14" t="n">
        <x:v>13.49891</x:v>
      </x:c>
      <x:c r="E16" s="15" t="n">
        <x:v>3.5</x:v>
      </x:c>
    </x:row>
    <x:row r="17">
      <x:c r="A17" s="13" t="n">
        <x:v>15</x:v>
      </x:c>
      <x:c r="B17" s="14" t="n">
        <x:v>10.62618</x:v>
      </x:c>
      <x:c r="C17" s="14" t="n">
        <x:v>13.654628</x:v>
      </x:c>
      <x:c r="D17" s="14" t="n">
        <x:v>13.393664</x:v>
      </x:c>
      <x:c r="E17" s="15" t="n">
        <x:v>3.75</x:v>
      </x:c>
    </x:row>
    <x:row r="18">
      <x:c r="A18" s="13" t="n">
        <x:v>16</x:v>
      </x:c>
      <x:c r="B18" s="14" t="n">
        <x:v>10.641115</x:v>
      </x:c>
      <x:c r="C18" s="14" t="n">
        <x:v>14.181191</x:v>
      </x:c>
      <x:c r="D18" s="14" t="n">
        <x:v>13.329653</x:v>
      </x:c>
      <x:c r="E18" s="15" t="n">
        <x:v>4</x:v>
      </x:c>
    </x:row>
    <x:row r="19">
      <x:c r="A19" s="13" t="n">
        <x:v>17</x:v>
      </x:c>
      <x:c r="B19" s="14" t="n">
        <x:v>10.718003</x:v>
      </x:c>
      <x:c r="C19" s="14" t="n">
        <x:v>14.79626</x:v>
      </x:c>
      <x:c r="D19" s="14" t="n">
        <x:v>13.31468</x:v>
      </x:c>
      <x:c r="E19" s="15" t="n">
        <x:v>4.25</x:v>
      </x:c>
    </x:row>
    <x:row r="20">
      <x:c r="A20" s="13" t="n">
        <x:v>18</x:v>
      </x:c>
      <x:c r="B20" s="14" t="n">
        <x:v>10.838044</x:v>
      </x:c>
      <x:c r="C20" s="14" t="n">
        <x:v>15.415642</x:v>
      </x:c>
      <x:c r="D20" s="14" t="n">
        <x:v>13.364593</x:v>
      </x:c>
      <x:c r="E20" s="15" t="n">
        <x:v>4.5</x:v>
      </x:c>
    </x:row>
    <x:row r="21">
      <x:c r="A21" s="13" t="n">
        <x:v>19</x:v>
      </x:c>
      <x:c r="B21" s="14" t="n">
        <x:v>10.994577</x:v>
      </x:c>
      <x:c r="C21" s="14" t="n">
        <x:v>15.913984</x:v>
      </x:c>
      <x:c r="D21" s="14" t="n">
        <x:v>13.510347</x:v>
      </x:c>
      <x:c r="E21" s="15" t="n">
        <x:v>4.75</x:v>
      </x:c>
    </x:row>
    <x:row r="22">
      <x:c r="A22" s="13" t="n">
        <x:v>20</x:v>
      </x:c>
      <x:c r="B22" s="14" t="n">
        <x:v>11.221601</x:v>
      </x:c>
      <x:c r="C22" s="14" t="n">
        <x:v>16.241262</x:v>
      </x:c>
      <x:c r="D22" s="14" t="n">
        <x:v>13.777883</x:v>
      </x:c>
      <x:c r="E22" s="15" t="n">
        <x:v>5</x:v>
      </x:c>
    </x:row>
    <x:row r="23">
      <x:c r="A23" s="13" t="n">
        <x:v>21</x:v>
      </x:c>
      <x:c r="B23" s="14" t="n">
        <x:v>11.662221</x:v>
      </x:c>
      <x:c r="C23" s="14" t="n">
        <x:v>16.439142</x:v>
      </x:c>
      <x:c r="D23" s="14" t="n">
        <x:v>14.196336</x:v>
      </x:c>
      <x:c r="E23" s="15" t="n">
        <x:v>5.25</x:v>
      </x:c>
    </x:row>
    <x:row r="24">
      <x:c r="A24" s="13" t="n">
        <x:v>22</x:v>
      </x:c>
      <x:c r="B24" s="14" t="n">
        <x:v>12.509721</x:v>
      </x:c>
      <x:c r="C24" s="14" t="n">
        <x:v>16.58438</x:v>
      </x:c>
      <x:c r="D24" s="14" t="n">
        <x:v>14.812175</x:v>
      </x:c>
      <x:c r="E24" s="15" t="n">
        <x:v>5.5</x:v>
      </x:c>
    </x:row>
    <x:row r="25">
      <x:c r="A25" s="13" t="n">
        <x:v>23</x:v>
      </x:c>
      <x:c r="B25" s="14" t="n">
        <x:v>13.944464</x:v>
      </x:c>
      <x:c r="C25" s="14" t="n">
        <x:v>16.788765</x:v>
      </x:c>
      <x:c r="D25" s="14" t="n">
        <x:v>15.669973</x:v>
      </x:c>
      <x:c r="E25" s="15" t="n">
        <x:v>5.75</x:v>
      </x:c>
    </x:row>
    <x:row r="26">
      <x:c r="A26" s="13" t="n">
        <x:v>24</x:v>
      </x:c>
      <x:c r="B26" s="14" t="n">
        <x:v>16.060418</x:v>
      </x:c>
      <x:c r="C26" s="14" t="n">
        <x:v>17.129954</x:v>
      </x:c>
      <x:c r="D26" s="14" t="n">
        <x:v>16.817822</x:v>
      </x:c>
      <x:c r="E26" s="15" t="n">
        <x:v>6</x:v>
      </x:c>
    </x:row>
    <x:row r="27">
      <x:c r="A27" s="13" t="n">
        <x:v>25</x:v>
      </x:c>
      <x:c r="B27" s="14" t="n">
        <x:v>18.62032</x:v>
      </x:c>
      <x:c r="C27" s="14" t="n">
        <x:v>17.66876</x:v>
      </x:c>
      <x:c r="D27" s="14" t="n">
        <x:v>18.370254</x:v>
      </x:c>
      <x:c r="E27" s="15" t="n">
        <x:v>6.25</x:v>
      </x:c>
    </x:row>
    <x:row r="28">
      <x:c r="A28" s="13" t="n">
        <x:v>26</x:v>
      </x:c>
      <x:c r="B28" s="14" t="n">
        <x:v>21.294902</x:v>
      </x:c>
      <x:c r="C28" s="14" t="n">
        <x:v>18.482407</x:v>
      </x:c>
      <x:c r="D28" s="14" t="n">
        <x:v>20.472281</x:v>
      </x:c>
      <x:c r="E28" s="15" t="n">
        <x:v>6.5</x:v>
      </x:c>
    </x:row>
    <x:row r="29">
      <x:c r="A29" s="13" t="n">
        <x:v>27</x:v>
      </x:c>
      <x:c r="B29" s="14" t="n">
        <x:v>23.76418</x:v>
      </x:c>
      <x:c r="C29" s="14" t="n">
        <x:v>19.651937</x:v>
      </x:c>
      <x:c r="D29" s="14" t="n">
        <x:v>23.254721</x:v>
      </x:c>
      <x:c r="E29" s="15" t="n">
        <x:v>6.75</x:v>
      </x:c>
    </x:row>
    <x:row r="30">
      <x:c r="A30" s="13" t="n">
        <x:v>28</x:v>
      </x:c>
      <x:c r="B30" s="14" t="n">
        <x:v>25.776005</x:v>
      </x:c>
      <x:c r="C30" s="14" t="n">
        <x:v>21.225615</x:v>
      </x:c>
      <x:c r="D30" s="14" t="n">
        <x:v>26.788464</x:v>
      </x:c>
      <x:c r="E30" s="15" t="n">
        <x:v>7</x:v>
      </x:c>
    </x:row>
    <x:row r="31">
      <x:c r="A31" s="13" t="n">
        <x:v>29</x:v>
      </x:c>
      <x:c r="B31" s="14" t="n">
        <x:v>27.380366</x:v>
      </x:c>
      <x:c r="C31" s="14" t="n">
        <x:v>23.278055</x:v>
      </x:c>
      <x:c r="D31" s="14" t="n">
        <x:v>30.870415</x:v>
      </x:c>
      <x:c r="E31" s="15" t="n">
        <x:v>7.25</x:v>
      </x:c>
    </x:row>
    <x:row r="32">
      <x:c r="A32" s="13" t="n">
        <x:v>30</x:v>
      </x:c>
      <x:c r="B32" s="14" t="n">
        <x:v>28.691385</x:v>
      </x:c>
      <x:c r="C32" s="14" t="n">
        <x:v>25.859109</x:v>
      </x:c>
      <x:c r="D32" s="14" t="n">
        <x:v>35.240191</x:v>
      </x:c>
      <x:c r="E32" s="15" t="n">
        <x:v>7.5</x:v>
      </x:c>
    </x:row>
    <x:row r="33">
      <x:c r="A33" s="13" t="n">
        <x:v>31</x:v>
      </x:c>
      <x:c r="B33" s="14" t="n">
        <x:v>29.846587</x:v>
      </x:c>
      <x:c r="C33" s="14" t="n">
        <x:v>29.020238</x:v>
      </x:c>
      <x:c r="D33" s="14" t="n">
        <x:v>39.614814</x:v>
      </x:c>
      <x:c r="E33" s="15" t="n">
        <x:v>7.75</x:v>
      </x:c>
    </x:row>
    <x:row r="34">
      <x:c r="A34" s="13" t="n">
        <x:v>32</x:v>
      </x:c>
      <x:c r="B34" s="14" t="n">
        <x:v>30.940194</x:v>
      </x:c>
      <x:c r="C34" s="14" t="n">
        <x:v>32.734803</x:v>
      </x:c>
      <x:c r="D34" s="14" t="n">
        <x:v>43.705415</x:v>
      </x:c>
      <x:c r="E34" s="15" t="n">
        <x:v>8</x:v>
      </x:c>
    </x:row>
    <x:row r="35">
      <x:c r="A35" s="13" t="n">
        <x:v>33</x:v>
      </x:c>
      <x:c r="B35" s="14" t="n">
        <x:v>31.953342</x:v>
      </x:c>
      <x:c r="C35" s="14" t="n">
        <x:v>36.626858</x:v>
      </x:c>
      <x:c r="D35" s="14" t="n">
        <x:v>47.154478</x:v>
      </x:c>
      <x:c r="E35" s="15" t="n">
        <x:v>8.25</x:v>
      </x:c>
    </x:row>
    <x:row r="36">
      <x:c r="A36" s="13" t="n">
        <x:v>34</x:v>
      </x:c>
      <x:c r="B36" s="14" t="n">
        <x:v>32.845675</x:v>
      </x:c>
      <x:c r="C36" s="14" t="n">
        <x:v>40.216005</x:v>
      </x:c>
      <x:c r="D36" s="14" t="n">
        <x:v>49.547311</x:v>
      </x:c>
      <x:c r="E36" s="15" t="n">
        <x:v>8.5</x:v>
      </x:c>
    </x:row>
    <x:row r="37">
      <x:c r="A37" s="13" t="n">
        <x:v>35</x:v>
      </x:c>
      <x:c r="B37" s="14" t="n">
        <x:v>33.571219</x:v>
      </x:c>
      <x:c r="C37" s="14" t="n">
        <x:v>43.035552</x:v>
      </x:c>
      <x:c r="D37" s="14" t="n">
        <x:v>50.477831</x:v>
      </x:c>
      <x:c r="E37" s="15" t="n">
        <x:v>8.75</x:v>
      </x:c>
    </x:row>
    <x:row r="38">
      <x:c r="A38" s="13" t="n">
        <x:v>36</x:v>
      </x:c>
      <x:c r="B38" s="14" t="n">
        <x:v>34.105139</x:v>
      </x:c>
      <x:c r="C38" s="14" t="n">
        <x:v>44.744464</x:v>
      </x:c>
      <x:c r="D38" s="14" t="n">
        <x:v>49.717831</x:v>
      </x:c>
      <x:c r="E38" s="15" t="n">
        <x:v>9</x:v>
      </x:c>
    </x:row>
    <x:row r="39">
      <x:c r="A39" s="13" t="n">
        <x:v>37</x:v>
      </x:c>
      <x:c r="B39" s="14" t="n">
        <x:v>34.483361</x:v>
      </x:c>
      <x:c r="C39" s="14" t="n">
        <x:v>45.563945</x:v>
      </x:c>
      <x:c r="D39" s="14" t="n">
        <x:v>47.651642</x:v>
      </x:c>
      <x:c r="E39" s="15" t="n">
        <x:v>9.25</x:v>
      </x:c>
    </x:row>
    <x:row r="40">
      <x:c r="A40" s="13" t="n">
        <x:v>38</x:v>
      </x:c>
      <x:c r="B40" s="14" t="n">
        <x:v>34.720025</x:v>
      </x:c>
      <x:c r="C40" s="14" t="n">
        <x:v>45.842964</x:v>
      </x:c>
      <x:c r="D40" s="14" t="n">
        <x:v>44.842852</x:v>
      </x:c>
      <x:c r="E40" s="15" t="n">
        <x:v>9.5</x:v>
      </x:c>
    </x:row>
    <x:row r="41">
      <x:c r="A41" s="13" t="n">
        <x:v>39</x:v>
      </x:c>
      <x:c r="B41" s="14" t="n">
        <x:v>34.876855</x:v>
      </x:c>
      <x:c r="C41" s="14" t="n">
        <x:v>45.95124</x:v>
      </x:c>
      <x:c r="D41" s="14" t="n">
        <x:v>41.848224</x:v>
      </x:c>
      <x:c r="E41" s="15" t="n">
        <x:v>9.75</x:v>
      </x:c>
    </x:row>
    <x:row r="42">
      <x:c r="A42" s="13" t="n">
        <x:v>40</x:v>
      </x:c>
      <x:c r="B42" s="14" t="n">
        <x:v>34.998003</x:v>
      </x:c>
      <x:c r="C42" s="14" t="n">
        <x:v>46.153437</x:v>
      </x:c>
      <x:c r="D42" s="14" t="n">
        <x:v>39.166533</x:v>
      </x:c>
      <x:c r="E42" s="15" t="n">
        <x:v>10</x:v>
      </x:c>
    </x:row>
    <x:row r="43">
      <x:c r="A43" s="13" t="n">
        <x:v>41</x:v>
      </x:c>
      <x:c r="B43" s="14" t="n">
        <x:v>35.105596</x:v>
      </x:c>
      <x:c r="C43" s="14" t="n">
        <x:v>46.501954</x:v>
      </x:c>
      <x:c r="D43" s="14" t="n">
        <x:v>37.046883</x:v>
      </x:c>
      <x:c r="E43" s="15" t="n">
        <x:v>10.25</x:v>
      </x:c>
    </x:row>
    <x:row r="44">
      <x:c r="A44" s="13" t="n">
        <x:v>42</x:v>
      </x:c>
      <x:c r="B44" s="14" t="n">
        <x:v>35.264388</x:v>
      </x:c>
      <x:c r="C44" s="14" t="n">
        <x:v>46.931355</x:v>
      </x:c>
      <x:c r="D44" s="14" t="n">
        <x:v>35.655473</x:v>
      </x:c>
      <x:c r="E44" s="15" t="n">
        <x:v>10.5</x:v>
      </x:c>
    </x:row>
    <x:row r="45">
      <x:c r="A45" s="13" t="n">
        <x:v>43</x:v>
      </x:c>
      <x:c r="B45" s="14" t="n">
        <x:v>35.522672</x:v>
      </x:c>
      <x:c r="C45" s="14" t="n">
        <x:v>47.44306</x:v>
      </x:c>
      <x:c r="D45" s="14" t="n">
        <x:v>35.213995</x:v>
      </x:c>
      <x:c r="E45" s="15" t="n">
        <x:v>10.75</x:v>
      </x:c>
    </x:row>
    <x:row r="46">
      <x:c r="A46" s="13" t="n">
        <x:v>44</x:v>
      </x:c>
      <x:c r="B46" s="14" t="n">
        <x:v>35.908516</x:v>
      </x:c>
      <x:c r="C46" s="14" t="n">
        <x:v>47.955385</x:v>
      </x:c>
      <x:c r="D46" s="14" t="n">
        <x:v>35.75573</x:v>
      </x:c>
      <x:c r="E46" s="15" t="n">
        <x:v>11</x:v>
      </x:c>
    </x:row>
    <x:row r="47">
      <x:c r="A47" s="13" t="n">
        <x:v>45</x:v>
      </x:c>
      <x:c r="B47" s="14" t="n">
        <x:v>36.441492</x:v>
      </x:c>
      <x:c r="C47" s="14" t="n">
        <x:v>48.350216</x:v>
      </x:c>
      <x:c r="D47" s="14" t="n">
        <x:v>36.762522</x:v>
      </x:c>
      <x:c r="E47" s="15" t="n">
        <x:v>11.25</x:v>
      </x:c>
    </x:row>
    <x:row r="48">
      <x:c r="A48" s="13" t="n">
        <x:v>46</x:v>
      </x:c>
      <x:c r="B48" s="14" t="n">
        <x:v>37.119601</x:v>
      </x:c>
      <x:c r="C48" s="14" t="n">
        <x:v>48.511049</x:v>
      </x:c>
      <x:c r="D48" s="14" t="n">
        <x:v>37.612415</x:v>
      </x:c>
      <x:c r="E48" s="15" t="n">
        <x:v>11.5</x:v>
      </x:c>
    </x:row>
    <x:row r="49">
      <x:c r="A49" s="13" t="n">
        <x:v>47</x:v>
      </x:c>
      <x:c r="B49" s="14" t="n">
        <x:v>37.961109</x:v>
      </x:c>
      <x:c r="C49" s="14" t="n">
        <x:v>48.272352</x:v>
      </x:c>
      <x:c r="D49" s="14" t="n">
        <x:v>37.638049</x:v>
      </x:c>
      <x:c r="E49" s="15" t="n">
        <x:v>11.75</x:v>
      </x:c>
    </x:row>
    <x:row r="50">
      <x:c r="A50" s="13" t="n">
        <x:v>48</x:v>
      </x:c>
      <x:c r="B50" s="14" t="n">
        <x:v>38.920984</x:v>
      </x:c>
      <x:c r="C50" s="14" t="n">
        <x:v>47.545672</x:v>
      </x:c>
      <x:c r="D50" s="14" t="n">
        <x:v>36.39527</x:v>
      </x:c>
      <x:c r="E50" s="15" t="n">
        <x:v>12</x:v>
      </x:c>
    </x:row>
    <x:row r="51">
      <x:c r="A51" s="13" t="n">
        <x:v>49</x:v>
      </x:c>
      <x:c r="B51" s="14" t="n">
        <x:v>39.805366</x:v>
      </x:c>
      <x:c r="C51" s="14" t="n">
        <x:v>46.400413</x:v>
      </x:c>
      <x:c r="D51" s="14" t="n">
        <x:v>34.25962</x:v>
      </x:c>
      <x:c r="E51" s="15" t="n">
        <x:v>12.25</x:v>
      </x:c>
    </x:row>
    <x:row r="52">
      <x:c r="A52" s="13" t="n">
        <x:v>50</x:v>
      </x:c>
      <x:c r="B52" s="14" t="n">
        <x:v>40.368899</x:v>
      </x:c>
      <x:c r="C52" s="14" t="n">
        <x:v>44.981423</x:v>
      </x:c>
      <x:c r="D52" s="14" t="n">
        <x:v>31.767331</x:v>
      </x:c>
      <x:c r="E52" s="15" t="n">
        <x:v>12.5</x:v>
      </x:c>
    </x:row>
    <x:row r="53">
      <x:c r="A53" s="13" t="n">
        <x:v>51</x:v>
      </x:c>
      <x:c r="B53" s="14" t="n">
        <x:v>40.398164</x:v>
      </x:c>
      <x:c r="C53" s="14" t="n">
        <x:v>43.394254</x:v>
      </x:c>
      <x:c r="D53" s="14" t="n">
        <x:v>29.507104</x:v>
      </x:c>
      <x:c r="E53" s="15" t="n">
        <x:v>12.75</x:v>
      </x:c>
    </x:row>
    <x:row r="54">
      <x:c r="A54" s="13" t="n">
        <x:v>52</x:v>
      </x:c>
      <x:c r="B54" s="14" t="n">
        <x:v>39.724598</x:v>
      </x:c>
      <x:c r="C54" s="14" t="n">
        <x:v>41.753093</x:v>
      </x:c>
      <x:c r="D54" s="14" t="n">
        <x:v>27.89021</x:v>
      </x:c>
      <x:c r="E54" s="15" t="n">
        <x:v>13</x:v>
      </x:c>
    </x:row>
    <x:row r="55">
      <x:c r="A55" s="13" t="n">
        <x:v>53</x:v>
      </x:c>
      <x:c r="B55" s="14" t="n">
        <x:v>38.529874</x:v>
      </x:c>
      <x:c r="C55" s="14" t="n">
        <x:v>40.174221</x:v>
      </x:c>
      <x:c r="D55" s="14" t="n">
        <x:v>26.883284</x:v>
      </x:c>
      <x:c r="E55" s="15" t="n">
        <x:v>13.25</x:v>
      </x:c>
    </x:row>
    <x:row r="56">
      <x:c r="A56" s="13" t="n">
        <x:v>54</x:v>
      </x:c>
      <x:c r="B56" s="14" t="n">
        <x:v>37.056145</x:v>
      </x:c>
      <x:c r="C56" s="14" t="n">
        <x:v>38.734541</x:v>
      </x:c>
      <x:c r="D56" s="14" t="n">
        <x:v>26.280951</x:v>
      </x:c>
      <x:c r="E56" s="15" t="n">
        <x:v>13.5</x:v>
      </x:c>
    </x:row>
    <x:row r="57">
      <x:c r="A57" s="13" t="n">
        <x:v>55</x:v>
      </x:c>
      <x:c r="B57" s="14" t="n">
        <x:v>35.569719</x:v>
      </x:c>
      <x:c r="C57" s="14" t="n">
        <x:v>37.53874</x:v>
      </x:c>
      <x:c r="D57" s="14" t="n">
        <x:v>25.909967</x:v>
      </x:c>
      <x:c r="E57" s="15" t="n">
        <x:v>13.75</x:v>
      </x:c>
    </x:row>
    <x:row r="58">
      <x:c r="A58" s="13" t="n">
        <x:v>56</x:v>
      </x:c>
      <x:c r="B58" s="14" t="n">
        <x:v>34.26462</x:v>
      </x:c>
      <x:c r="C58" s="14" t="n">
        <x:v>36.675238</x:v>
      </x:c>
      <x:c r="D58" s="14" t="n">
        <x:v>25.595809</x:v>
      </x:c>
      <x:c r="E58" s="15" t="n">
        <x:v>14</x:v>
      </x:c>
    </x:row>
    <x:row r="59">
      <x:c r="A59" s="13" t="n">
        <x:v>57</x:v>
      </x:c>
      <x:c r="B59" s="14" t="n">
        <x:v>33.164249</x:v>
      </x:c>
      <x:c r="C59" s="14" t="n">
        <x:v>36.145016</x:v>
      </x:c>
      <x:c r="D59" s="14" t="n">
        <x:v>25.33029</x:v>
      </x:c>
      <x:c r="E59" s="15" t="n">
        <x:v>14.25</x:v>
      </x:c>
    </x:row>
    <x:row r="60">
      <x:c r="A60" s="13" t="n">
        <x:v>58</x:v>
      </x:c>
      <x:c r="B60" s="14" t="n">
        <x:v>32.198208</x:v>
      </x:c>
      <x:c r="C60" s="14" t="n">
        <x:v>35.939445</x:v>
      </x:c>
      <x:c r="D60" s="14" t="n">
        <x:v>25.116391</x:v>
      </x:c>
      <x:c r="E60" s="15" t="n">
        <x:v>14.5</x:v>
      </x:c>
    </x:row>
    <x:row r="61">
      <x:c r="A61" s="13" t="n">
        <x:v>59</x:v>
      </x:c>
      <x:c r="B61" s="14" t="n">
        <x:v>31.328975</x:v>
      </x:c>
      <x:c r="C61" s="14" t="n">
        <x:v>36.037869</x:v>
      </x:c>
      <x:c r="D61" s="14" t="n">
        <x:v>24.948142</x:v>
      </x:c>
      <x:c r="E61" s="15" t="n">
        <x:v>14.75</x:v>
      </x:c>
    </x:row>
    <x:row r="62">
      <x:c r="A62" s="13" t="n">
        <x:v>60</x:v>
      </x:c>
      <x:c r="B62" s="14" t="n">
        <x:v>30.520352</x:v>
      </x:c>
      <x:c r="C62" s="14" t="n">
        <x:v>36.416292</x:v>
      </x:c>
      <x:c r="D62" s="14" t="n">
        <x:v>24.838369</x:v>
      </x:c>
      <x:c r="E62" s="15" t="n">
        <x:v>15</x:v>
      </x:c>
    </x:row>
    <x:row r="63">
      <x:c r="A63" s="13" t="n">
        <x:v>61</x:v>
      </x:c>
      <x:c r="B63" s="14" t="n">
        <x:v>29.793443</x:v>
      </x:c>
      <x:c r="C63" s="14" t="n">
        <x:v>36.921806</x:v>
      </x:c>
      <x:c r="D63" s="14" t="n">
        <x:v>24.778456</x:v>
      </x:c>
      <x:c r="E63" s="15" t="n">
        <x:v>15.25</x:v>
      </x:c>
    </x:row>
    <x:row r="64">
      <x:c r="A64" s="13" t="n">
        <x:v>62</x:v>
      </x:c>
      <x:c r="B64" s="14" t="n">
        <x:v>29.161661</x:v>
      </x:c>
      <x:c r="C64" s="14" t="n">
        <x:v>37.395609</x:v>
      </x:c>
      <x:c r="D64" s="14" t="n">
        <x:v>24.76423</x:v>
      </x:c>
      <x:c r="E64" s="15" t="n">
        <x:v>15.5</x:v>
      </x:c>
    </x:row>
    <x:row r="65">
      <x:c r="A65" s="13" t="n">
        <x:v>63</x:v>
      </x:c>
      <x:c r="B65" s="14" t="n">
        <x:v>28.659831</x:v>
      </x:c>
      <x:c r="C65" s="14" t="n">
        <x:v>37.664738</x:v>
      </x:c>
      <x:c r="D65" s="14" t="n">
        <x:v>24.795475</x:v>
      </x:c>
      <x:c r="E65" s="15" t="n">
        <x:v>15.75</x:v>
      </x:c>
    </x:row>
    <x:row r="66">
      <x:c r="A66" s="13" t="n">
        <x:v>64</x:v>
      </x:c>
      <x:c r="B66" s="14" t="n">
        <x:v>28.310191</x:v>
      </x:c>
      <x:c r="C66" s="14" t="n">
        <x:v>37.607904</x:v>
      </x:c>
      <x:c r="D66" s="14" t="n">
        <x:v>24.869249</x:v>
      </x:c>
      <x:c r="E66" s="15" t="n">
        <x:v>16</x:v>
      </x:c>
    </x:row>
    <x:row r="67">
      <x:c r="A67" s="13" t="n">
        <x:v>65</x:v>
      </x:c>
      <x:c r="B67" s="14" t="n">
        <x:v>28.195385</x:v>
      </x:c>
      <x:c r="C67" s="14" t="n">
        <x:v>37.381246</x:v>
      </x:c>
      <x:c r="D67" s="14" t="n">
        <x:v>25.106945</x:v>
      </x:c>
      <x:c r="E67" s="15" t="n">
        <x:v>16.25</x:v>
      </x:c>
    </x:row>
    <x:row r="68">
      <x:c r="A68" s="13" t="n">
        <x:v>66</x:v>
      </x:c>
      <x:c r="B68" s="14" t="n">
        <x:v>28.386713</x:v>
      </x:c>
      <x:c r="C68" s="14" t="n">
        <x:v>37.166861</x:v>
      </x:c>
      <x:c r="D68" s="14" t="n">
        <x:v>25.635686</x:v>
      </x:c>
      <x:c r="E68" s="15" t="n">
        <x:v>16.5</x:v>
      </x:c>
    </x:row>
    <x:row r="69">
      <x:c r="A69" s="13" t="n">
        <x:v>67</x:v>
      </x:c>
      <x:c r="B69" s="14" t="n">
        <x:v>28.977623</x:v>
      </x:c>
      <x:c r="C69" s="14" t="n">
        <x:v>37.172008</x:v>
      </x:c>
      <x:c r="D69" s="14" t="n">
        <x:v>26.586342</x:v>
      </x:c>
      <x:c r="E69" s="15" t="n">
        <x:v>16.75</x:v>
      </x:c>
    </x:row>
    <x:row r="70">
      <x:c r="A70" s="13" t="n">
        <x:v>68</x:v>
      </x:c>
      <x:c r="B70" s="14" t="n">
        <x:v>30.007721</x:v>
      </x:c>
      <x:c r="C70" s="14" t="n">
        <x:v>37.485046</x:v>
      </x:c>
      <x:c r="D70" s="14" t="n">
        <x:v>28.072582</x:v>
      </x:c>
      <x:c r="E70" s="15" t="n">
        <x:v>17</x:v>
      </x:c>
    </x:row>
    <x:row r="71">
      <x:c r="A71" s="13" t="n">
        <x:v>69</x:v>
      </x:c>
      <x:c r="B71" s="14" t="n">
        <x:v>31.406005</x:v>
      </x:c>
      <x:c r="C71" s="14" t="n">
        <x:v>37.846637</x:v>
      </x:c>
      <x:c r="D71" s="14" t="n">
        <x:v>30.127167</x:v>
      </x:c>
      <x:c r="E71" s="15" t="n">
        <x:v>17.25</x:v>
      </x:c>
    </x:row>
    <x:row r="72">
      <x:c r="A72" s="13" t="n">
        <x:v>70</x:v>
      </x:c>
      <x:c r="B72" s="14" t="n">
        <x:v>33.070443</x:v>
      </x:c>
      <x:c r="C72" s="14" t="n">
        <x:v>37.920238</x:v>
      </x:c>
      <x:c r="D72" s="14" t="n">
        <x:v>32.77532</x:v>
      </x:c>
      <x:c r="E72" s="15" t="n">
        <x:v>17.5</x:v>
      </x:c>
    </x:row>
    <x:row r="73">
      <x:c r="A73" s="13" t="n">
        <x:v>71</x:v>
      </x:c>
      <x:c r="B73" s="14" t="n">
        <x:v>34.892847</x:v>
      </x:c>
      <x:c r="C73" s="14" t="n">
        <x:v>37.334549</x:v>
      </x:c>
      <x:c r="D73" s="14" t="n">
        <x:v>36.033352</x:v>
      </x:c>
      <x:c r="E73" s="15" t="n">
        <x:v>17.75</x:v>
      </x:c>
    </x:row>
    <x:row r="74">
      <x:c r="A74" s="13" t="n">
        <x:v>72</x:v>
      </x:c>
      <x:c r="B74" s="14" t="n">
        <x:v>36.778623</x:v>
      </x:c>
      <x:c r="C74" s="14" t="n">
        <x:v>35.862801</x:v>
      </x:c>
      <x:c r="D74" s="14" t="n">
        <x:v>39.847077</x:v>
      </x:c>
      <x:c r="E74" s="15" t="n">
        <x:v>18</x:v>
      </x:c>
    </x:row>
    <x:row r="75">
      <x:c r="A75" s="13" t="n">
        <x:v>73</x:v>
      </x:c>
      <x:c r="B75" s="14" t="n">
        <x:v>38.648044</x:v>
      </x:c>
      <x:c r="C75" s="14" t="n">
        <x:v>33.742467</x:v>
      </x:c>
      <x:c r="D75" s="14" t="n">
        <x:v>43.787036</x:v>
      </x:c>
      <x:c r="E75" s="15" t="n">
        <x:v>18.25</x:v>
      </x:c>
    </x:row>
    <x:row r="76">
      <x:c r="A76" s="13" t="n">
        <x:v>74</x:v>
      </x:c>
      <x:c r="B76" s="14" t="n">
        <x:v>40.45474</x:v>
      </x:c>
      <x:c r="C76" s="14" t="n">
        <x:v>31.315669</x:v>
      </x:c>
      <x:c r="D76" s="14" t="n">
        <x:v>47.372945</x:v>
      </x:c>
      <x:c r="E76" s="15" t="n">
        <x:v>18.5</x:v>
      </x:c>
    </x:row>
    <x:row r="77">
      <x:c r="A77" s="13" t="n">
        <x:v>75</x:v>
      </x:c>
      <x:c r="B77" s="14" t="n">
        <x:v>42.128265</x:v>
      </x:c>
      <x:c r="C77" s="14" t="n">
        <x:v>28.952036</x:v>
      </x:c>
      <x:c r="D77" s="14" t="n">
        <x:v>50.108399</x:v>
      </x:c>
      <x:c r="E77" s="15" t="n">
        <x:v>18.75</x:v>
      </x:c>
    </x:row>
    <x:row r="78">
      <x:c r="A78" s="13" t="n">
        <x:v>76</x:v>
      </x:c>
      <x:c r="B78" s="14" t="n">
        <x:v>43.59653</x:v>
      </x:c>
      <x:c r="C78" s="14" t="n">
        <x:v>26.92962</x:v>
      </x:c>
      <x:c r="D78" s="14" t="n">
        <x:v>51.596022</x:v>
      </x:c>
      <x:c r="E78" s="15" t="n">
        <x:v>19</x:v>
      </x:c>
    </x:row>
    <x:row r="79">
      <x:c r="A79" s="13" t="n">
        <x:v>77</x:v>
      </x:c>
      <x:c r="B79" s="14" t="n">
        <x:v>44.71297</x:v>
      </x:c>
      <x:c r="C79" s="14" t="n">
        <x:v>25.305077</x:v>
      </x:c>
      <x:c r="D79" s="14" t="n">
        <x:v>51.806413</x:v>
      </x:c>
      <x:c r="E79" s="15" t="n">
        <x:v>19.25</x:v>
      </x:c>
    </x:row>
    <x:row r="80">
      <x:c r="A80" s="13" t="n">
        <x:v>78</x:v>
      </x:c>
      <x:c r="B80" s="14" t="n">
        <x:v>45.29291</x:v>
      </x:c>
      <x:c r="C80" s="14" t="n">
        <x:v>24.09694</x:v>
      </x:c>
      <x:c r="D80" s="14" t="n">
        <x:v>50.814642</x:v>
      </x:c>
      <x:c r="E80" s="15" t="n">
        <x:v>19.5</x:v>
      </x:c>
    </x:row>
    <x:row r="81">
      <x:c r="A81" s="13" t="n">
        <x:v>79</x:v>
      </x:c>
      <x:c r="B81" s="14" t="n">
        <x:v>45.158582</x:v>
      </x:c>
      <x:c r="C81" s="14" t="n">
        <x:v>23.284358</x:v>
      </x:c>
      <x:c r="D81" s="14" t="n">
        <x:v>48.703861</x:v>
      </x:c>
      <x:c r="E81" s="15" t="n">
        <x:v>19.75</x:v>
      </x:c>
    </x:row>
    <x:row r="82">
      <x:c r="A82" s="13" t="n">
        <x:v>80</x:v>
      </x:c>
      <x:c r="B82" s="14" t="n">
        <x:v>44.238437</x:v>
      </x:c>
      <x:c r="C82" s="14" t="n">
        <x:v>22.847262</x:v>
      </x:c>
      <x:c r="D82" s="14" t="n">
        <x:v>45.606959</x:v>
      </x:c>
      <x:c r="E82" s="15" t="n">
        <x:v>20</x:v>
      </x:c>
    </x:row>
    <x:row r="83">
      <x:c r="A83" s="13" t="n">
        <x:v>81</x:v>
      </x:c>
      <x:c r="B83" s="14" t="n">
        <x:v>42.764653</x:v>
      </x:c>
      <x:c r="C83" s="14" t="n">
        <x:v>22.653145</x:v>
      </x:c>
      <x:c r="D83" s="14" t="n">
        <x:v>41.929344</x:v>
      </x:c>
      <x:c r="E83" s="15" t="n">
        <x:v>20.25</x:v>
      </x:c>
    </x:row>
    <x:row r="84">
      <x:c r="A84" s="13" t="n">
        <x:v>82</x:v>
      </x:c>
      <x:c r="B84" s="14" t="n">
        <x:v>41.076587</x:v>
      </x:c>
      <x:c r="C84" s="14" t="n">
        <x:v>22.535049</x:v>
      </x:c>
      <x:c r="D84" s="14" t="n">
        <x:v>38.136437</x:v>
      </x:c>
      <x:c r="E84" s="15" t="n">
        <x:v>20.5</x:v>
      </x:c>
    </x:row>
    <x:row r="85">
      <x:c r="A85" s="13" t="n">
        <x:v>83</x:v>
      </x:c>
      <x:c r="B85" s="14" t="n">
        <x:v>39.491372</x:v>
      </x:c>
      <x:c r="C85" s="14" t="n">
        <x:v>22.334803</x:v>
      </x:c>
      <x:c r="D85" s="14" t="n">
        <x:v>34.705208</x:v>
      </x:c>
      <x:c r="E85" s="15" t="n">
        <x:v>20.75</x:v>
      </x:c>
    </x:row>
    <x:row r="86">
      <x:c r="A86" s="13" t="n">
        <x:v>84</x:v>
      </x:c>
      <x:c r="B86" s="14" t="n">
        <x:v>38.265661</x:v>
      </x:c>
      <x:c r="C86" s="14" t="n">
        <x:v>21.935716</x:v>
      </x:c>
      <x:c r="D86" s="14" t="n">
        <x:v>31.987</x:v>
      </x:c>
      <x:c r="E86" s="15" t="n">
        <x:v>21</x:v>
      </x:c>
    </x:row>
    <x:row r="87">
      <x:c r="A87" s="13" t="n">
        <x:v>85</x:v>
      </x:c>
      <x:c r="B87" s="14" t="n">
        <x:v>37.314964</x:v>
      </x:c>
      <x:c r="C87" s="14" t="n">
        <x:v>21.391661</x:v>
      </x:c>
      <x:c r="D87" s="14" t="n">
        <x:v>29.919046</x:v>
      </x:c>
      <x:c r="E87" s="15" t="n">
        <x:v>21.25</x:v>
      </x:c>
    </x:row>
    <x:row r="88">
      <x:c r="A88" s="13" t="n">
        <x:v>86</x:v>
      </x:c>
      <x:c r="B88" s="14" t="n">
        <x:v>36.487956</x:v>
      </x:c>
      <x:c r="C88" s="14" t="n">
        <x:v>20.801699</x:v>
      </x:c>
      <x:c r="D88" s="14" t="n">
        <x:v>28.305577</x:v>
      </x:c>
      <x:c r="E88" s="15" t="n">
        <x:v>21.5</x:v>
      </x:c>
    </x:row>
    <x:row r="89">
      <x:c r="A89" s="13" t="n">
        <x:v>87</x:v>
      </x:c>
      <x:c r="B89" s="14" t="n">
        <x:v>35.619443</x:v>
      </x:c>
      <x:c r="C89" s="14" t="n">
        <x:v>20.249158</x:v>
      </x:c>
      <x:c r="D89" s="14" t="n">
        <x:v>26.966322</x:v>
      </x:c>
      <x:c r="E89" s="15" t="n">
        <x:v>21.75</x:v>
      </x:c>
    </x:row>
    <x:row r="90">
      <x:c r="A90" s="13" t="n">
        <x:v>88</x:v>
      </x:c>
      <x:c r="B90" s="14" t="n">
        <x:v>34.572227</x:v>
      </x:c>
      <x:c r="C90" s="14" t="n">
        <x:v>19.818391</x:v>
      </x:c>
      <x:c r="D90" s="14" t="n">
        <x:v>25.738702</x:v>
      </x:c>
      <x:c r="E90" s="15" t="n">
        <x:v>22</x:v>
      </x:c>
    </x:row>
    <x:row r="91">
      <x:c r="A91" s="13" t="n">
        <x:v>89</x:v>
      </x:c>
      <x:c r="B91" s="14" t="n">
        <x:v>33.310153</x:v>
      </x:c>
      <x:c r="C91" s="14" t="n">
        <x:v>19.490522</x:v>
      </x:c>
      <x:c r="D91" s="14" t="n">
        <x:v>24.56744</x:v>
      </x:c>
      <x:c r="E91" s="15" t="n">
        <x:v>22.25</x:v>
      </x:c>
    </x:row>
    <x:row r="92">
      <x:c r="A92" s="13" t="n">
        <x:v>90</x:v>
      </x:c>
      <x:c r="B92" s="14" t="n">
        <x:v>31.811022</x:v>
      </x:c>
      <x:c r="C92" s="14" t="n">
        <x:v>19.217732</x:v>
      </x:c>
      <x:c r="D92" s="14" t="n">
        <x:v>23.439303</x:v>
      </x:c>
      <x:c r="E92" s="15" t="n">
        <x:v>22.5</x:v>
      </x:c>
    </x:row>
    <x:row r="93">
      <x:c r="A93" s="13" t="n">
        <x:v>91</x:v>
      </x:c>
      <x:c r="B93" s="14" t="n">
        <x:v>30.066462</x:v>
      </x:c>
      <x:c r="C93" s="14" t="n">
        <x:v>18.92994</x:v>
      </x:c>
      <x:c r="D93" s="14" t="n">
        <x:v>22.297803</x:v>
      </x:c>
      <x:c r="E93" s="15" t="n">
        <x:v>22.75</x:v>
      </x:c>
    </x:row>
    <x:row r="94">
      <x:c r="A94" s="13" t="n">
        <x:v>92</x:v>
      </x:c>
      <x:c r="B94" s="14" t="n">
        <x:v>28.076101</x:v>
      </x:c>
      <x:c r="C94" s="14" t="n">
        <x:v>18.610142</x:v>
      </x:c>
      <x:c r="D94" s="14" t="n">
        <x:v>21.14262</x:v>
      </x:c>
      <x:c r="E94" s="15" t="n">
        <x:v>23</x:v>
      </x:c>
    </x:row>
    <x:row r="95">
      <x:c r="A95" s="13" t="n">
        <x:v>93</x:v>
      </x:c>
      <x:c r="B95" s="14" t="n">
        <x:v>25.92003</x:v>
      </x:c>
      <x:c r="C95" s="14" t="n">
        <x:v>18.243913</x:v>
      </x:c>
      <x:c r="D95" s="14" t="n">
        <x:v>20.00626</x:v>
      </x:c>
      <x:c r="E95" s="15" t="n">
        <x:v>23.25</x:v>
      </x:c>
    </x:row>
    <x:row r="96">
      <x:c r="A96" s="13" t="n">
        <x:v>94</x:v>
      </x:c>
      <x:c r="B96" s="14" t="n">
        <x:v>23.697549</x:v>
      </x:c>
      <x:c r="C96" s="14" t="n">
        <x:v>17.824798</x:v>
      </x:c>
      <x:c r="D96" s="14" t="n">
        <x:v>18.928964</x:v>
      </x:c>
      <x:c r="E96" s="15" t="n">
        <x:v>23.5</x:v>
      </x:c>
    </x:row>
    <x:row r="97">
      <x:c r="A97" s="13" t="n">
        <x:v>95</x:v>
      </x:c>
      <x:c r="B97" s="14" t="n">
        <x:v>21.504303</x:v>
      </x:c>
      <x:c r="C97" s="14" t="n">
        <x:v>17.351803</x:v>
      </x:c>
      <x:c r="D97" s="14" t="n">
        <x:v>17.960399</x:v>
      </x:c>
      <x:c r="E97" s="15" t="n">
        <x:v>23.75</x:v>
      </x:c>
    </x:row>
  </x:sheetData>
  <x:pageMargins left="0.7" right="0.7" top="0.75" bottom="0.75" header="0.3" footer="0.3"/>
  <x:tableParts count="1">
    <x:tablePart xmlns:r="http://schemas.openxmlformats.org/officeDocument/2006/relationships" r:id="R318ae7171bdd42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2" hidden="0" customWidth="1"/>
  </x:cols>
  <x:sheetData>
    <x:row r="1" ht="30" customHeight="1">
      <x:c r="A1" s="7" t="str">
        <x:v>Month</x:v>
      </x:c>
      <x:c r="B1" s="7" t="str">
        <x:v>Day-Ahead (EUR/MWh)</x:v>
      </x:c>
      <x:c r="C1" s="7" t="str">
        <x:v>reBAP (EUR/MWh)</x:v>
      </x:c>
    </x:row>
    <x:row r="2">
      <x:c r="A2" s="13" t="n">
        <x:v>1</x:v>
      </x:c>
      <x:c r="B2" s="11" t="n">
        <x:v>76.571142</x:v>
      </x:c>
      <x:c r="C2" s="11" t="n">
        <x:v>87.0108</x:v>
      </x:c>
    </x:row>
    <x:row r="3">
      <x:c r="A3" s="13" t="n">
        <x:v>2</x:v>
      </x:c>
      <x:c r="B3" s="11" t="n">
        <x:v>61.335848</x:v>
      </x:c>
      <x:c r="C3" s="11" t="n">
        <x:v>60.414885</x:v>
      </x:c>
    </x:row>
    <x:row r="4">
      <x:c r="A4" s="13" t="n">
        <x:v>3</x:v>
      </x:c>
      <x:c r="B4" s="11" t="n">
        <x:v>64.701992</x:v>
      </x:c>
      <x:c r="C4" s="11" t="n">
        <x:v>63.503203</x:v>
      </x:c>
    </x:row>
    <x:row r="5">
      <x:c r="A5" s="13" t="n">
        <x:v>4</x:v>
      </x:c>
      <x:c r="B5" s="11" t="n">
        <x:v>62.360819</x:v>
      </x:c>
      <x:c r="C5" s="11" t="n">
        <x:v>52.966222</x:v>
      </x:c>
    </x:row>
    <x:row r="6">
      <x:c r="A6" s="13" t="n">
        <x:v>5</x:v>
      </x:c>
      <x:c r="B6" s="11" t="n">
        <x:v>67.210013</x:v>
      </x:c>
      <x:c r="C6" s="11" t="n">
        <x:v>60.873797</x:v>
      </x:c>
    </x:row>
    <x:row r="7">
      <x:c r="A7" s="13" t="n">
        <x:v>6</x:v>
      </x:c>
      <x:c r="B7" s="11" t="n">
        <x:v>72.887722</x:v>
      </x:c>
      <x:c r="C7" s="11" t="n">
        <x:v>116.85501</x:v>
      </x:c>
    </x:row>
    <x:row r="8">
      <x:c r="A8" s="13" t="n">
        <x:v>7</x:v>
      </x:c>
      <x:c r="B8" s="11" t="n">
        <x:v>67.69703</x:v>
      </x:c>
      <x:c r="C8" s="11" t="n">
        <x:v>79.405709</x:v>
      </x:c>
    </x:row>
    <x:row r="9">
      <x:c r="A9" s="13" t="n">
        <x:v>8</x:v>
      </x:c>
      <x:c r="B9" s="11" t="n">
        <x:v>82.047177</x:v>
      </x:c>
      <x:c r="C9" s="11" t="n">
        <x:v>93.383535</x:v>
      </x:c>
    </x:row>
    <x:row r="10">
      <x:c r="A10" s="13" t="n">
        <x:v>9</x:v>
      </x:c>
      <x:c r="B10" s="11" t="n">
        <x:v>78.309972</x:v>
      </x:c>
      <x:c r="C10" s="11" t="n">
        <x:v>84.203997</x:v>
      </x:c>
    </x:row>
    <x:row r="11">
      <x:c r="A11" s="13" t="n">
        <x:v>10</x:v>
      </x:c>
      <x:c r="B11" s="11" t="n">
        <x:v>86.09655</x:v>
      </x:c>
      <x:c r="C11" s="11" t="n">
        <x:v>86.064758</x:v>
      </x:c>
    </x:row>
    <x:row r="12">
      <x:c r="A12" s="13" t="n">
        <x:v>11</x:v>
      </x:c>
      <x:c r="B12" s="11" t="n">
        <x:v>113.906444</x:v>
      </x:c>
      <x:c r="C12" s="11" t="n">
        <x:v>115.034882</x:v>
      </x:c>
    </x:row>
    <x:row r="13">
      <x:c r="A13" s="13" t="n">
        <x:v>12</x:v>
      </x:c>
      <x:c r="B13" s="11" t="n">
        <x:v>108.315591</x:v>
      </x:c>
      <x:c r="C13" s="11" t="n">
        <x:v>128.721022</x:v>
      </x:c>
    </x:row>
  </x:sheetData>
  <x:pageMargins left="0.7" right="0.7" top="0.75" bottom="0.75" header="0.3" footer="0.3"/>
  <x:tableParts count="1">
    <x:tablePart xmlns:r="http://schemas.openxmlformats.org/officeDocument/2006/relationships" r:id="Rec92f57a6d8f4d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18" hidden="0" customWidth="1"/>
    <x:col min="4" max="4" width="72" hidden="0" customWidth="1"/>
  </x:cols>
  <x:sheetData>
    <x:row r="1" ht="30" customHeight="1">
      <x:c r="A1" s="7" t="str">
        <x:v>Dataset</x:v>
      </x:c>
      <x:c r="B1" s="7" t="str">
        <x:v>Publisher</x:v>
      </x:c>
      <x:c r="C1" s="7" t="str">
        <x:v>Data status</x:v>
      </x:c>
      <x:c r="D1" s="7" t="str">
        <x:v>Source URL</x:v>
      </x:c>
    </x:row>
    <x:row r="2">
      <x:c r="A2" s="9" t="str">
        <x:v>Berlin SLP HB</x:v>
      </x:c>
      <x:c r="B2" s="9" t="str">
        <x:v>Stromnetz Berlin GmbH</x:v>
      </x:c>
      <x:c r="C2" s="8" t="str">
        <x:v>observed</x:v>
      </x:c>
      <x:c r="D2" s="9" t="str">
        <x:v>https://www.stromnetz.berlin/files/globalassets/dokumente/netz-nutzen/lastprofile/standardlastprofil-haushalte-2024.xlsx</x:v>
      </x:c>
    </x:row>
    <x:row r="3">
      <x:c r="A3" s="9" t="str">
        <x:v>Berlin SLP GB</x:v>
      </x:c>
      <x:c r="B3" s="9" t="str">
        <x:v>Stromnetz Berlin GmbH</x:v>
      </x:c>
      <x:c r="C3" s="8" t="str">
        <x:v>observed</x:v>
      </x:c>
      <x:c r="D3" s="9" t="str">
        <x:v>https://www.stromnetz.berlin/files/globalassets/dokumente/netz-nutzen/lastprofile/standardlastprofil-gewerbe-allgemein-2024.xlsx</x:v>
      </x:c>
    </x:row>
    <x:row r="4">
      <x:c r="A4" s="9" t="str">
        <x:v>Berlin SLP LB</x:v>
      </x:c>
      <x:c r="B4" s="9" t="str">
        <x:v>Stromnetz Berlin GmbH</x:v>
      </x:c>
      <x:c r="C4" s="8" t="str">
        <x:v>observed</x:v>
      </x:c>
      <x:c r="D4" s="9" t="str">
        <x:v>https://www.stromnetz.berlin/files/globalassets/dokumente/netz-nutzen/lastprofile/standardlastprofil-landwirtschaftsbetriebe-2024.xlsx</x:v>
      </x:c>
    </x:row>
    <x:row r="5">
      <x:c r="A5" s="9" t="str">
        <x:v>Day-Ahead price and historical shape inputs</x:v>
      </x:c>
      <x:c r="B5" s="9" t="str">
        <x:v>Bundesnetzagentur | SMARD.de</x:v>
      </x:c>
      <x:c r="C5" s="8" t="str">
        <x:v>observed</x:v>
      </x:c>
      <x:c r="D5" s="9" t="str">
        <x:v>https://www.smard.de/app/chart_data/4169/DE/index_hour.json</x:v>
      </x:c>
    </x:row>
    <x:row r="6">
      <x:c r="A6" s="9" t="str">
        <x:v>Quality-assured reBAP</x:v>
      </x:c>
      <x:c r="B6" s="9" t="str">
        <x:v>Netztransparenz / German TSOs</x:v>
      </x:c>
      <x:c r="C6" s="8" t="str">
        <x:v>observed</x:v>
      </x:c>
      <x:c r="D6" s="9" t="str">
        <x:v>https://www.netztransparenz.de/Regelenergie/Ausgleichsenergiepreis/reBAP</x:v>
      </x:c>
    </x:row>
    <x:row r="7">
      <x:c r="A7" s="9" t="str">
        <x:v>Teaching futures snapshot</x:v>
      </x:c>
      <x:c r="B7" s="9" t="str">
        <x:v>HTW Summer School project</x:v>
      </x:c>
      <x:c r="C7" s="8" t="str">
        <x:v>synthetic</x:v>
      </x:c>
      <x:c r="D7" s="9" t="str"/>
    </x:row>
  </x:sheetData>
  <x:pageMargins left="0.7" right="0.7" top="0.75" bottom="0.75" header="0.3" footer="0.3"/>
  <x:tableParts count="1">
    <x:tablePart xmlns:r="http://schemas.openxmlformats.org/officeDocument/2006/relationships" r:id="R378ce0945edd45e0"/>
  </x:tableParts>
</x:worksheet>
</file>