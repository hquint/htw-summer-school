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1e130699d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bb408318c142e9"/>
    <x:sheet xmlns:r="http://schemas.openxmlformats.org/officeDocument/2006/relationships" name="Inputs" sheetId="2" r:id="R68b6c87137604f63"/>
    <x:sheet xmlns:r="http://schemas.openxmlformats.org/officeDocument/2006/relationships" name="Checks" sheetId="3" r:id="Ree05def447304190"/>
    <x:sheet xmlns:r="http://schemas.openxmlformats.org/officeDocument/2006/relationships" name="Calibration" sheetId="4" r:id="R0e7a91accf954185"/>
    <x:sheet xmlns:r="http://schemas.openxmlformats.org/officeDocument/2006/relationships" name="Reconciliation" sheetId="5" r:id="Rdcdfca0d468148eb"/>
    <x:sheet xmlns:r="http://schemas.openxmlformats.org/officeDocument/2006/relationships" name="Monthly" sheetId="6" r:id="R9c12b6bf65fc4a22"/>
  </x:sheets>
</x:workbook>
</file>

<file path=xl/comments1.xml><?xml version="1.0" encoding="utf-8"?>
<x:comments xmlns:x="http://schemas.openxmlformats.org/spreadsheetml/2006/main">
  <x:authors>
    <x:author>tc={613B1846-A5B2-8E16-6BD7-BDA690DED8E4}</x:author>
    <x:author>tc={71C5FCE1-075C-D566-67BC-BA6C97B6F6DD}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Exact neutrality tolerance for the selected M01–M03 and Q2–Q4 calibration products.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teaching convention: market_activity above this threshold is considered usable.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#,##0"/>
    <x:numFmt numFmtId="202" formatCode="€#,##0.00"/>
    <x:numFmt numFmtId="203" formatCode="#,##0.000000"/>
    <x:numFmt numFmtId="204" formatCode="€#,##0.000000"/>
    <x:numFmt numFmtId="205" formatCode="0"/>
    <x:numFmt numFmtId="206" formatCode="€0.000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i/>
      <x:sz val="11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1F5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202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1" xfId="0" applyNumberFormat="1" applyFont="1" applyFill="1" applyBorder="1"/>
    <x:xf numFmtId="204" fontId="8" fillId="0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202" fontId="9" fillId="0" borderId="1" xfId="0" applyNumberFormat="1" applyFont="1" applyFill="1" applyBorder="1"/>
    <x:xf numFmtId="206" fontId="9" fillId="0" borderId="1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2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2" xfId="0" applyNumberFormat="1" applyFont="1" applyFill="1" applyBorder="1" applyAlignment="1">
      <x:alignment wrapText="1"/>
    </x:xf>
    <x:xf numFmtId="0" fontId="10" fillId="5" borderId="3" xfId="0" applyNumberFormat="1" applyFont="1" applyFill="1" applyBorder="1" applyAlignment="1">
      <x:alignment wrapText="1"/>
    </x:xf>
    <x:xf numFmtId="0" fontId="10" fillId="5" borderId="4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6" xfId="0" applyNumberFormat="1" applyFont="1" applyFill="1" applyBorder="1" applyAlignment="1">
      <x:alignment wrapText="1"/>
    </x:xf>
    <x:xf numFmtId="0" fontId="10" fillId="5" borderId="7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2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10" fillId="5" borderId="7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3da41c4534c12" /><Relationship Type="http://schemas.openxmlformats.org/officeDocument/2006/relationships/theme" Target="/xl/theme/theme1.xml" Id="R33d6c6f7f3cf4843" /><Relationship Type="http://schemas.openxmlformats.org/officeDocument/2006/relationships/sharedStrings" Target="/xl/sharedStrings.xml" Id="Rc8b827bc605244b0" /><Relationship Type="http://schemas.openxmlformats.org/officeDocument/2006/relationships/worksheet" Target="/xl/worksheets/sheet1.xml" Id="R4dbb408318c142e9" /><Relationship Type="http://schemas.openxmlformats.org/officeDocument/2006/relationships/worksheet" Target="/xl/worksheets/sheet2.xml" Id="R68b6c87137604f63" /><Relationship Type="http://schemas.openxmlformats.org/officeDocument/2006/relationships/worksheet" Target="/xl/worksheets/sheet3.xml" Id="Ree05def447304190" /><Relationship Type="http://schemas.openxmlformats.org/officeDocument/2006/relationships/worksheet" Target="/xl/worksheets/sheet4.xml" Id="R0e7a91accf954185" /><Relationship Type="http://schemas.openxmlformats.org/officeDocument/2006/relationships/worksheet" Target="/xl/worksheets/sheet5.xml" Id="Rdcdfca0d468148eb" /><Relationship Type="http://schemas.openxmlformats.org/officeDocument/2006/relationships/worksheet" Target="/xl/worksheets/sheet6.xml" Id="R9c12b6bf65fc4a22" /><Relationship Type="http://schemas.microsoft.com/office/2017/10/relationships/person" Target="/xl/persons/person.xml" Id="Rc9310b38b37d47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6d2d495dcb444c" /><Relationship Type="http://schemas.openxmlformats.org/officeDocument/2006/relationships/chart" Target="/xl/drawings/charts/chart2.xml" Id="R5f05cbf9c5a946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averages (EUR/MWh)</a:t>
            </a:r>
          </a:p>
        </c:rich>
      </c:tx>
    </c:title>
    <c:plotArea>
      <c:lineChart>
        <c:grouping val="standard"/>
        <c:ser>
          <c:idx val="0"/>
          <c:order val="0"/>
          <c:tx>
            <c:v>HPFC</c:v>
          </c:tx>
          <c:marker>
            <c:symbol val="none"/>
          </c:marker>
          <c:cat>
            <c:strRef>
              <c:f>'Summary'!$A$14:$A$25</c:f>
              <c:strCache>
                <c:ptCount val="0"/>
              </c:strCache>
            </c:strRef>
          </c:cat>
          <c:val>
            <c:numRef>
              <c:f>'Summary'!$B$14:$B$25</c:f>
              <c:numCache>
                <c:formatCode>€#,##0.00</c:formatCode>
                <c:ptCount val="0"/>
              </c:numCache>
            </c:numRef>
          </c:val>
        </c:ser>
        <c:ser>
          <c:idx val="1"/>
          <c:order val="1"/>
          <c:tx>
            <c:v>Realized Day-Ahead</c:v>
          </c:tx>
          <c:marker>
            <c:symbol val="none"/>
          </c:marker>
          <c:cat>
            <c:strRef>
              <c:f>'Summary'!$A$14:$A$25</c:f>
              <c:strCache>
                <c:ptCount val="0"/>
              </c:strCache>
            </c:strRef>
          </c:cat>
          <c:val>
            <c:numRef>
              <c:f>'Summary'!$C$14:$C$25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HPFC minus futures quote (EUR/MWh)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 error</c:v>
          </c:tx>
          <c:cat>
            <c:strRef>
              <c:f>'Summary'!$A$31:$A$38</c:f>
              <c:strCache>
                <c:ptCount val="0"/>
              </c:strCache>
            </c:strRef>
          </c:cat>
          <c:val>
            <c:numRef>
              <c:f>'Summary'!$B$31:$B$38</c:f>
              <c:numCache>
                <c:formatCode>€0.000000</c:formatCode>
                <c:ptCount val="0"/>
              </c:numCache>
            </c:numRef>
          </c:val>
        </c:ser>
        <c:ser>
          <c:idx val="1"/>
          <c:order val="1"/>
          <c:tx>
            <c:v>Peak error</c:v>
          </c:tx>
          <c:cat>
            <c:strRef>
              <c:f>'Summary'!$A$31:$A$38</c:f>
              <c:strCache>
                <c:ptCount val="0"/>
              </c:strCache>
            </c:strRef>
          </c:cat>
          <c:val>
            <c:numRef>
              <c:f>'Summary'!$C$31:$C$38</c:f>
              <c:numCache>
                <c:formatCode>€0.000000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6d2d495dcb444c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05cbf9c5a9467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" id="{A5B7D027-7706-4A6A-8FB9-83F22750FC09}"/>
</xltc:personList>
</file>

<file path=xl/tables/table1.xml><?xml version="1.0" encoding="utf-8"?>
<x:table xmlns:x="http://schemas.openxmlformats.org/spreadsheetml/2006/main" id="1" name="HPFCChecks" displayName="HPFCChecks" ref="A1:G9" headerRowCount="1" totalsRowCount="0" totalsRowShown="0">
  <x:tableColumns count="7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ibrationInputs" displayName="CalibrationInputs" ref="A1:I7" headerRowCount="1" totalsRowCount="0" totalsRowShown="0">
  <x:tableColumns count="9">
    <x:tableColumn id="1" name="Period"/>
    <x:tableColumn id="2" name="Base target"/>
    <x:tableColumn id="3" name="Peak target"/>
    <x:tableColumn id="4" name="Implied Off-Peak source"/>
    <x:tableColumn id="5" name="QH all"/>
    <x:tableColumn id="6" name="QH Peak"/>
    <x:tableColumn id="7" name="QH Off-Peak"/>
    <x:tableColumn id="8" name="Peak shape mean"/>
    <x:tableColumn id="9" name="Off-Peak shape 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ctReconciliation" displayName="ContractReconciliation" ref="A1:F35" headerRowCount="1" totalsRowCount="0" totalsRowShown="0">
  <x:tableColumns count="6">
    <x:tableColumn id="1" name="Load type"/>
    <x:tableColumn id="2" name="Period"/>
    <x:tableColumn id="3" name="Calibration flag"/>
    <x:tableColumn id="4" name="Market activity"/>
    <x:tableColumn id="5" name="Futures quote"/>
    <x:tableColumn id="6" name="HPFC block aver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HPFC" displayName="MonthlyHPFC" ref="A1:C13" headerRowCount="1" totalsRowCount="0" totalsRowShown="0">
  <x:tableColumns count="3">
    <x:tableColumn id="1" name="Month"/>
    <x:tableColumn id="2" name="HPFC (EUR/MWh)"/>
    <x:tableColumn id="3" name="Realized Day-Ahead (EUR/MWh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26T12:58:39.568" personId="{A5B7D027-7706-4A6A-8FB9-83F22750FC09}" id="{613B1846-A5B2-8E16-6BD7-BDA690DED8E4}">
    <xltc:text>Exact neutrality tolerance for the selected M01–M03 and Q2–Q4 calibration products.</xltc:text>
  </xltc:threadedComment>
  <xltc:threadedComment ref="B6" dT="2026-07-26T12:58:39.569" personId="{A5B7D027-7706-4A6A-8FB9-83F22750FC09}" id="{71C5FCE1-075C-D566-67BC-BA6C97B6F6DD}">
    <xltc:text>Synthetic teaching convention: market_activity above this threshold is considered usable.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348734cded47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e43cdaec2a1446c" /><Relationship Type="http://schemas.openxmlformats.org/officeDocument/2006/relationships/vmlDrawing" Target="/xl/drawings/vmldrawing.vml" Id="R75b09cecad514524" /><Relationship Type="http://schemas.microsoft.com/office/2017/10/relationships/threadedComment" Target="/xl/threadedcomments/threadedcomment.xml" Id="Rec311060066e45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86eef7c20b149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e81103aca340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d18f062418f4d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034c257e49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2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4" t="str">
        <x:v>HTW Summer School — value-neutral 2024 HPFC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3">
      <x:c r="A3" s="35" t="str">
        <x:v>Validation snapshot</x:v>
      </x:c>
      <x:c r="B3" s="35"/>
      <x:c r="D3" s="35" t="str">
        <x:v>Curve design</x:v>
      </x:c>
      <x:c r="E3" s="35"/>
      <x:c r="F3" s="35"/>
    </x:row>
    <x:row r="4">
      <x:c r="A4" s="8" t="str">
        <x:v>Model status</x:v>
      </x:c>
      <x:c r="B4" s="39" t="str">
        <x:f>IF(COUNTIF('Checks'!$F$2:$F$9,"FAIL")=0,"OK","FAIL")</x:f>
        <x:v>OK</x:v>
      </x:c>
      <x:c r="D4" s="43" t="str">
        <x:v>Step</x:v>
      </x:c>
      <x:c r="E4" s="43" t="str">
        <x:v>Target</x:v>
      </x:c>
      <x:c r="F4" s="43" t="str">
        <x:v>Purpose</x:v>
      </x:c>
    </x:row>
    <x:row r="5">
      <x:c r="A5" s="8" t="str">
        <x:v>Passed checks</x:v>
      </x:c>
      <x:c r="B5" s="40" t="n">
        <x:f>COUNTIF('Checks'!$F$2:$F$9,"OK")</x:f>
        <x:v>8</x:v>
      </x:c>
      <x:c r="D5" s="18" t="str">
        <x:v>1</x:v>
      </x:c>
      <x:c r="E5" s="18" t="str">
        <x:v>M01–M03 + Q2–Q4</x:v>
      </x:c>
      <x:c r="F5" s="18" t="str">
        <x:v>Full year without overlap</x:v>
      </x:c>
    </x:row>
    <x:row r="6">
      <x:c r="A6" s="8" t="str">
        <x:v>Quarter-hours</x:v>
      </x:c>
      <x:c r="B6" s="40" t="n">
        <x:f>'Checks'!$B$2</x:f>
        <x:v>35136</x:v>
      </x:c>
      <x:c r="D6" s="18" t="str">
        <x:v>2</x:v>
      </x:c>
      <x:c r="E6" s="18" t="str">
        <x:v>Peak quote</x:v>
      </x:c>
      <x:c r="F6" s="18" t="str">
        <x:v>Fix Peak block average</x:v>
      </x:c>
    </x:row>
    <x:row r="7">
      <x:c r="A7" s="8" t="str">
        <x:v>Maximum calibration error</x:v>
      </x:c>
      <x:c r="B7" s="41" t="n">
        <x:f>'Checks'!$B$5</x:f>
        <x:v>9e-8</x:v>
      </x:c>
      <x:c r="D7" s="18" t="str">
        <x:v>3</x:v>
      </x:c>
      <x:c r="E7" s="18" t="str">
        <x:v>Implied Off-Peak</x:v>
      </x:c>
      <x:c r="F7" s="18" t="str">
        <x:v>Preserve Base block average</x:v>
      </x:c>
    </x:row>
    <x:row r="8">
      <x:c r="A8" s="8" t="str">
        <x:v>Maximum usable-product error</x:v>
      </x:c>
      <x:c r="B8" s="41" t="n">
        <x:f>'Checks'!$B$6</x:f>
        <x:v>0.00442749</x:v>
      </x:c>
      <x:c r="D8" s="18" t="str">
        <x:v>4</x:v>
      </x:c>
      <x:c r="E8" s="18" t="str">
        <x:v>Historical shape</x:v>
      </x:c>
      <x:c r="F8" s="18" t="str">
        <x:v>Distribute value within each slice</x:v>
      </x:c>
    </x:row>
    <x:row r="9">
      <x:c r="A9" s="8" t="str">
        <x:v>Minimum HPFC</x:v>
      </x:c>
      <x:c r="B9" s="41" t="n">
        <x:f>'Inputs'!$B$14</x:f>
        <x:v>9.7542</x:v>
      </x:c>
    </x:row>
    <x:row r="10">
      <x:c r="A10" s="8" t="str">
        <x:v>Maximum HPFC</x:v>
      </x:c>
      <x:c r="B10" s="41" t="n">
        <x:f>'Inputs'!$B$15</x:f>
        <x:v>244.479</x:v>
      </x:c>
    </x:row>
    <x:row r="12">
      <x:c r="A12" s="35" t="str">
        <x:v>Monthly HPFC versus realized Day-Ahead</x:v>
      </x:c>
      <x:c r="B12" s="35"/>
      <x:c r="C12" s="35"/>
    </x:row>
    <x:row r="13">
      <x:c r="A13" s="42" t="str">
        <x:v>Month</x:v>
      </x:c>
      <x:c r="B13" s="42" t="str">
        <x:v>HPFC</x:v>
      </x:c>
      <x:c r="C13" s="42" t="str">
        <x:v>Realized Day-Ahead</x:v>
      </x:c>
    </x:row>
    <x:row r="14">
      <x:c r="A14" s="44" t="n">
        <x:f>'Monthly'!A2</x:f>
        <x:v>1</x:v>
      </x:c>
      <x:c r="B14" s="45" t="n">
        <x:f>'Monthly'!B2</x:f>
        <x:v>75.3200000873656</x:v>
      </x:c>
      <x:c r="C14" s="45" t="n">
        <x:f>'Monthly'!C2</x:f>
        <x:v>76.57114247311829</x:v>
      </x:c>
    </x:row>
    <x:row r="15">
      <x:c r="A15" s="44" t="n">
        <x:f>'Monthly'!A3</x:f>
        <x:v>2</x:v>
      </x:c>
      <x:c r="B15" s="45" t="n">
        <x:f>'Monthly'!B3</x:f>
        <x:v>60.08999995833333</x:v>
      </x:c>
      <x:c r="C15" s="45" t="n">
        <x:f>'Monthly'!C3</x:f>
        <x:v>61.335847701149426</x:v>
      </x:c>
    </x:row>
    <x:row r="16">
      <x:c r="A16" s="44" t="n">
        <x:f>'Monthly'!A4</x:f>
        <x:v>3</x:v>
      </x:c>
      <x:c r="B16" s="45" t="n">
        <x:f>'Monthly'!B4</x:f>
        <x:v>63.45000001076716</x:v>
      </x:c>
      <x:c r="C16" s="45" t="n">
        <x:f>'Monthly'!C4</x:f>
        <x:v>64.70199192462988</x:v>
      </x:c>
    </x:row>
    <x:row r="17">
      <x:c r="A17" s="44" t="n">
        <x:f>'Monthly'!A5</x:f>
        <x:v>4</x:v>
      </x:c>
      <x:c r="B17" s="45" t="n">
        <x:f>'Monthly'!B5</x:f>
        <x:v>62.10751800277778</x:v>
      </x:c>
      <x:c r="C17" s="45" t="n">
        <x:f>'Monthly'!C5</x:f>
        <x:v>62.360819444444445</x:v>
      </x:c>
    </x:row>
    <x:row r="18">
      <x:c r="A18" s="44" t="n">
        <x:f>'Monthly'!A6</x:f>
        <x:v>5</x:v>
      </x:c>
      <x:c r="B18" s="45" t="n">
        <x:f>'Monthly'!B6</x:f>
        <x:v>60.63373794623656</x:v>
      </x:c>
      <x:c r="C18" s="45" t="n">
        <x:f>'Monthly'!C6</x:f>
        <x:v>67.21001344086021</x:v>
      </x:c>
    </x:row>
    <x:row r="19">
      <x:c r="A19" s="44" t="n">
        <x:f>'Monthly'!A7</x:f>
        <x:v>6</x:v>
      </x:c>
      <x:c r="B19" s="45" t="n">
        <x:f>'Monthly'!B7</x:f>
        <x:v>76.13528609722222</x:v>
      </x:c>
      <x:c r="C19" s="45" t="n">
        <x:f>'Monthly'!C7</x:f>
        <x:v>72.88772222222222</x:v>
      </x:c>
    </x:row>
    <x:row r="20">
      <x:c r="A20" s="44" t="n">
        <x:f>'Monthly'!A8</x:f>
        <x:v>7</x:v>
      </x:c>
      <x:c r="B20" s="45" t="n">
        <x:f>'Monthly'!B8</x:f>
        <x:v>64.75916741935484</x:v>
      </x:c>
      <x:c r="C20" s="45" t="n">
        <x:f>'Monthly'!C8</x:f>
        <x:v>67.69702956989246</x:v>
      </x:c>
    </x:row>
    <x:row r="21">
      <x:c r="A21" s="44" t="n">
        <x:f>'Monthly'!A9</x:f>
        <x:v>8</x:v>
      </x:c>
      <x:c r="B21" s="45" t="n">
        <x:f>'Monthly'!B9</x:f>
        <x:v>70.08240897043011</x:v>
      </x:c>
      <x:c r="C21" s="45" t="n">
        <x:f>'Monthly'!C9</x:f>
        <x:v>82.04717741935484</x:v>
      </x:c>
    </x:row>
    <x:row r="22">
      <x:c r="A22" s="44" t="n">
        <x:f>'Monthly'!A10</x:f>
        <x:v>9</x:v>
      </x:c>
      <x:c r="B22" s="45" t="n">
        <x:f>'Monthly'!B10</x:f>
        <x:v>89.86637104583333</x:v>
      </x:c>
      <x:c r="C22" s="45" t="n">
        <x:f>'Monthly'!C10</x:f>
        <x:v>78.30997222222223</x:v>
      </x:c>
    </x:row>
    <x:row r="23">
      <x:c r="A23" s="44" t="n">
        <x:f>'Monthly'!A11</x:f>
        <x:v>10</x:v>
      </x:c>
      <x:c r="B23" s="45" t="n">
        <x:f>'Monthly'!B11</x:f>
        <x:v>93.36178871275168</x:v>
      </x:c>
      <x:c r="C23" s="45" t="n">
        <x:f>'Monthly'!C11</x:f>
        <x:v>86.09655033557047</x:v>
      </x:c>
    </x:row>
    <x:row r="24">
      <x:c r="A24" s="44" t="n">
        <x:f>'Monthly'!A12</x:f>
        <x:v>11</x:v>
      </x:c>
      <x:c r="B24" s="45" t="n">
        <x:f>'Monthly'!B12</x:f>
        <x:v>114.47732300416666</x:v>
      </x:c>
      <x:c r="C24" s="45" t="n">
        <x:f>'Monthly'!C12</x:f>
        <x:v>113.90644444444445</x:v>
      </x:c>
    </x:row>
    <x:row r="25">
      <x:c r="A25" s="44" t="n">
        <x:f>'Monthly'!A13</x:f>
        <x:v>12</x:v>
      </x:c>
      <x:c r="B25" s="45" t="n">
        <x:f>'Monthly'!B13</x:f>
        <x:v>96.76385066935484</x:v>
      </x:c>
      <x:c r="C25" s="45" t="n">
        <x:f>'Monthly'!C13</x:f>
        <x:v>108.31559139784946</x:v>
      </x:c>
    </x:row>
    <x:row r="29">
      <x:c r="A29" s="35" t="str">
        <x:v>Usable-product reconciliation</x:v>
      </x:c>
      <x:c r="B29" s="35"/>
      <x:c r="C29" s="35"/>
    </x:row>
    <x:row r="30">
      <x:c r="A30" s="42" t="str">
        <x:v>Product</x:v>
      </x:c>
      <x:c r="B30" s="42" t="str">
        <x:v>Base error</x:v>
      </x:c>
      <x:c r="C30" s="42" t="str">
        <x:v>Peak error</x:v>
      </x:c>
    </x:row>
    <x:row r="31">
      <x:c r="A31" s="44" t="str">
        <x:f>'Reconciliation'!B2</x:f>
        <x:v>CAL</x:v>
      </x:c>
      <x:c r="B31" s="46" t="n">
        <x:f>'Reconciliation'!G2</x:f>
        <x:v>-0.0005714899999986756</x:v>
      </x:c>
      <x:c r="C31" s="46" t="n">
        <x:f>'Reconciliation'!G3</x:f>
        <x:v>0.004427490000011858</x:v>
      </x:c>
    </x:row>
    <x:row r="32">
      <x:c r="A32" s="44" t="str">
        <x:f>'Reconciliation'!B4</x:f>
        <x:v>Q1</x:v>
      </x:c>
      <x:c r="B32" s="46" t="n">
        <x:f>'Reconciliation'!G4</x:f>
        <x:v>0.004218980000004535</x:v>
      </x:c>
      <x:c r="C32" s="46" t="n">
        <x:f>'Reconciliation'!G5</x:f>
        <x:v>0.0018461800000011408</x:v>
      </x:c>
    </x:row>
    <x:row r="33">
      <x:c r="A33" s="44" t="str">
        <x:f>'Reconciliation'!B6</x:f>
        <x:v>Q2</x:v>
      </x:c>
      <x:c r="B33" s="46" t="n">
        <x:f>'Reconciliation'!G6</x:f>
        <x:v>-1.0000007932831068e-8</x:v>
      </x:c>
      <x:c r="C33" s="46" t="n">
        <x:f>'Reconciliation'!G7</x:f>
        <x:v>-5.000001124244591e-8</x:v>
      </x:c>
    </x:row>
    <x:row r="34">
      <x:c r="A34" s="44" t="str">
        <x:f>'Reconciliation'!B8</x:f>
        <x:v>Q3</x:v>
      </x:c>
      <x:c r="B34" s="46" t="n">
        <x:f>'Reconciliation'!G8</x:f>
        <x:v>-9.999993721976352e-9</x:v>
      </x:c>
      <x:c r="C34" s="46" t="n">
        <x:f>'Reconciliation'!G9</x:f>
        <x:v>3.000000958763849e-8</x:v>
      </x:c>
    </x:row>
    <x:row r="35">
      <x:c r="A35" s="44" t="str">
        <x:f>'Reconciliation'!B10</x:f>
        <x:v>Q4</x:v>
      </x:c>
      <x:c r="B35" s="46" t="n">
        <x:f>'Reconciliation'!G10</x:f>
        <x:v>2.000000165480742e-8</x:v>
      </x:c>
      <x:c r="C35" s="46" t="n">
        <x:f>'Reconciliation'!G11</x:f>
        <x:v>3.00000237984932e-8</x:v>
      </x:c>
    </x:row>
    <x:row r="36">
      <x:c r="A36" s="44" t="str">
        <x:f>'Reconciliation'!B12</x:f>
        <x:v>M01</x:v>
      </x:c>
      <x:c r="B36" s="46" t="n">
        <x:f>'Reconciliation'!G12</x:f>
        <x:v>9.000000034120603e-8</x:v>
      </x:c>
      <x:c r="C36" s="46" t="n">
        <x:f>'Reconciliation'!G13</x:f>
        <x:v>7.999999240837496e-8</x:v>
      </x:c>
    </x:row>
    <x:row r="37">
      <x:c r="A37" s="44" t="str">
        <x:f>'Reconciliation'!B14</x:f>
        <x:v>M02</x:v>
      </x:c>
      <x:c r="B37" s="46" t="n">
        <x:f>'Reconciliation'!G14</x:f>
        <x:v>-4.000000330961484e-8</x:v>
      </x:c>
      <x:c r="C37" s="46" t="n">
        <x:f>'Reconciliation'!G15</x:f>
        <x:v>0</x:v>
      </x:c>
    </x:row>
    <x:row r="38">
      <x:c r="A38" s="44" t="str">
        <x:f>'Reconciliation'!B16</x:f>
        <x:v>M03</x:v>
      </x:c>
      <x:c r="B38" s="46" t="n">
        <x:f>'Reconciliation'!G16</x:f>
        <x:v>9.999993721976352e-9</x:v>
      </x:c>
      <x:c r="C38" s="46" t="n">
        <x:f>'Reconciliation'!G17</x:f>
        <x:v>0</x:v>
      </x:c>
    </x:row>
    <x:row r="42">
      <x:c r="A42" s="66" t="str">
        <x:v>The HPFC is neutral to the selected Base and Peak futures. CAL and Q1 are cross-checks; their sub-cent residuals arise only from quote rounding. M04–M12 are deliberately illiquid and are not calibration inputs.</x:v>
      </x:c>
      <x:c r="B42" s="67"/>
      <x:c r="C42" s="67"/>
      <x:c r="D42" s="67"/>
      <x:c r="E42" s="67"/>
      <x:c r="F42" s="67"/>
      <x:c r="G42" s="67"/>
      <x:c r="H42" s="67"/>
      <x:c r="I42" s="67"/>
      <x:c r="J42" s="68"/>
    </x:row>
    <x:row r="43">
      <x:c r="A43" s="69"/>
      <x:c r="B43" s="70"/>
      <x:c r="C43" s="70"/>
      <x:c r="D43" s="70"/>
      <x:c r="E43" s="70"/>
      <x:c r="F43" s="70"/>
      <x:c r="G43" s="70"/>
      <x:c r="H43" s="70"/>
      <x:c r="I43" s="70"/>
      <x:c r="J43" s="71"/>
    </x:row>
    <x:row r="44">
      <x:c r="A44" s="72"/>
      <x:c r="B44" s="73"/>
      <x:c r="C44" s="73"/>
      <x:c r="D44" s="73"/>
      <x:c r="E44" s="73"/>
      <x:c r="F44" s="73"/>
      <x:c r="G44" s="73"/>
      <x:c r="H44" s="73"/>
      <x:c r="I44" s="73"/>
      <x:c r="J44" s="74"/>
    </x:row>
  </x:sheetData>
  <x:mergeCells>
    <x:mergeCell ref="A1:J1"/>
    <x:mergeCell ref="A3:B3"/>
    <x:mergeCell ref="D3:F3"/>
    <x:mergeCell ref="A12:C12"/>
    <x:mergeCell ref="A29:C29"/>
    <x:mergeCell ref="A42:J44"/>
  </x:mergeCells>
  <x:pageMargins left="0.7" right="0.7" top="0.75" bottom="0.75" header="0.3" footer="0.3"/>
  <x:drawing xmlns:r="http://schemas.openxmlformats.org/officeDocument/2006/relationships" r:id="R60348734cded47b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6" hidden="0" customWidth="1"/>
  </x:cols>
  <x:sheetData>
    <x:row r="1">
      <x:c r="A1" s="2" t="str">
        <x:v>HPFC inputs and conventions</x:v>
      </x:c>
      <x:c r="B1" s="2"/>
    </x:row>
    <x:row r="3">
      <x:c r="A3" s="14" t="str">
        <x:v>Input / convention</x:v>
      </x:c>
      <x:c r="B3" s="14" t="str">
        <x:v>Value</x:v>
      </x:c>
    </x:row>
    <x:row r="4">
      <x:c r="A4" s="15" t="str">
        <x:v>Calibration tolerance (EUR/MWh)</x:v>
      </x:c>
      <x:c r="B4" s="16" t="n">
        <x:v>0.000001</x:v>
      </x:c>
    </x:row>
    <x:row r="5">
      <x:c r="A5" s="15" t="str">
        <x:v>Cross-check tolerance (EUR/MWh)</x:v>
      </x:c>
      <x:c r="B5" s="16" t="n">
        <x:v>0.01</x:v>
      </x:c>
    </x:row>
    <x:row r="6">
      <x:c r="A6" s="15" t="str">
        <x:v>Usable activity threshold</x:v>
      </x:c>
      <x:c r="B6" s="17" t="n">
        <x:v>100</x:v>
      </x:c>
    </x:row>
    <x:row r="7">
      <x:c r="A7" s="15" t="str">
        <x:v>Illiquid activity maximum</x:v>
      </x:c>
      <x:c r="B7" s="17" t="n">
        <x:v>10</x:v>
      </x:c>
    </x:row>
    <x:row r="8">
      <x:c r="A8" s="15" t="str">
        <x:v>Quote date</x:v>
      </x:c>
      <x:c r="B8" s="18" t="str">
        <x:v>2023-09-29</x:v>
      </x:c>
    </x:row>
    <x:row r="9">
      <x:c r="A9" s="15" t="str">
        <x:v>Delivery year</x:v>
      </x:c>
      <x:c r="B9" s="18" t="n">
        <x:v>2024</x:v>
      </x:c>
    </x:row>
    <x:row r="10">
      <x:c r="A10" s="15" t="str">
        <x:v>Calibration products</x:v>
      </x:c>
      <x:c r="B10" s="18" t="str">
        <x:v>M01, M02, M03, Q2, Q3, Q4</x:v>
      </x:c>
    </x:row>
    <x:row r="11">
      <x:c r="A11" s="15" t="str">
        <x:v>Curve source file</x:v>
      </x:c>
      <x:c r="B11" s="18" t="str">
        <x:v>processed/hpfc_granular_2024.csv</x:v>
      </x:c>
    </x:row>
    <x:row r="12">
      <x:c r="A12" s="15" t="str">
        <x:v>Shape source</x:v>
      </x:c>
      <x:c r="B12" s="18" t="str">
        <x:v>data_pipeline_2024/processed/shape_factors.csv; derived from observed 2019-2022 SMARD prices</x:v>
      </x:c>
    </x:row>
    <x:row r="13">
      <x:c r="A13" s="15" t="str">
        <x:v>Futures source</x:v>
      </x:c>
      <x:c r="B13" s="18" t="str">
        <x:v>data_pipeline_2024/processed/futures_prices.csv; synthetic teaching quotes</x:v>
      </x:c>
    </x:row>
    <x:row r="14">
      <x:c r="A14" s="15" t="str">
        <x:v>Curve minimum (EUR/MWh)</x:v>
      </x:c>
      <x:c r="B14" s="19" t="n">
        <x:v>9.7542</x:v>
      </x:c>
    </x:row>
    <x:row r="15">
      <x:c r="A15" s="15" t="str">
        <x:v>Curve maximum (EUR/MWh)</x:v>
      </x:c>
      <x:c r="B15" s="19" t="n">
        <x:v>244.479</x:v>
      </x:c>
    </x:row>
  </x:sheetData>
  <x:mergeCells>
    <x:mergeCell ref="A1:B1"/>
  </x:mergeCells>
  <x:pageMargins left="0.7" right="0.7" top="0.75" bottom="0.75" header="0.3" footer="0.3"/>
  <x:legacyDrawing xmlns:r="http://schemas.openxmlformats.org/officeDocument/2006/relationships" r:id="R75b09cecad51452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5" hidden="0" customWidth="1"/>
    <x:col min="4" max="4" width="16" hidden="0" customWidth="1"/>
    <x:col min="5" max="5" width="16" hidden="0" customWidth="1"/>
    <x:col min="6" max="6" width="12" hidden="0" customWidth="1"/>
    <x:col min="7" max="7" width="60" hidden="0" customWidth="1"/>
  </x:cols>
  <x:sheetData>
    <x:row r="1" ht="31" customHeight="1">
      <x:c r="A1" s="22" t="str">
        <x:v>Check</x:v>
      </x:c>
      <x:c r="B1" s="22" t="str">
        <x:v>Actual</x:v>
      </x:c>
      <x:c r="C1" s="22" t="str">
        <x:v>Expected</x:v>
      </x:c>
      <x:c r="D1" s="22" t="str">
        <x:v>Difference</x:v>
      </x:c>
      <x:c r="E1" s="22" t="str">
        <x:v>Tolerance</x:v>
      </x:c>
      <x:c r="F1" s="22" t="str">
        <x:v>Status</x:v>
      </x:c>
      <x:c r="G1" s="22" t="str">
        <x:v>Notes</x:v>
      </x:c>
    </x:row>
    <x:row r="2">
      <x:c r="A2" s="23" t="str">
        <x:v>HPFC row count</x:v>
      </x:c>
      <x:c r="B2" s="24" t="n">
        <x:v>35136</x:v>
      </x:c>
      <x:c r="C2" t="n">
        <x:v>35136</x:v>
      </x:c>
      <x:c r="D2" s="24" t="n">
        <x:v>0</x:v>
      </x:c>
      <x:c r="E2" s="24" t="n">
        <x:v>0</x:v>
      </x:c>
      <x:c r="F2" t="str">
        <x:v>OK</x:v>
      </x:c>
      <x:c r="G2" s="23" t="str">
        <x:v>Full 2024 quarter-hour coverage.</x:v>
      </x:c>
    </x:row>
    <x:row r="3">
      <x:c r="A3" s="23" t="str">
        <x:v>Unique UTC timestamps</x:v>
      </x:c>
      <x:c r="B3" s="24" t="n">
        <x:v>35136</x:v>
      </x:c>
      <x:c r="C3" t="n">
        <x:v>35136</x:v>
      </x:c>
      <x:c r="D3" s="24" t="n">
        <x:v>0</x:v>
      </x:c>
      <x:c r="E3" s="24" t="n">
        <x:v>0</x:v>
      </x:c>
      <x:c r="F3" t="str">
        <x:v>OK</x:v>
      </x:c>
      <x:c r="G3" s="23" t="str">
        <x:v>UTC is the unambiguous primary key.</x:v>
      </x:c>
    </x:row>
    <x:row r="4">
      <x:c r="A4" s="23" t="str">
        <x:v>Missing cells</x:v>
      </x:c>
      <x:c r="B4" s="24" t="n">
        <x:v>0</x:v>
      </x:c>
      <x:c r="C4" t="n">
        <x:v>0</x:v>
      </x:c>
      <x:c r="D4" s="24" t="n">
        <x:v>0</x:v>
      </x:c>
      <x:c r="E4" s="24" t="n">
        <x:v>0</x:v>
      </x:c>
      <x:c r="F4" t="str">
        <x:v>OK</x:v>
      </x:c>
      <x:c r="G4" s="23" t="str">
        <x:v>No missing values in the final curve.</x:v>
      </x:c>
    </x:row>
    <x:row r="5">
      <x:c r="A5" s="23" t="str">
        <x:v>Maximum calibration-product error (EUR/MWh)</x:v>
      </x:c>
      <x:c r="B5" s="24" t="n">
        <x:v>9e-8</x:v>
      </x:c>
      <x:c r="C5" t="n">
        <x:v>0</x:v>
      </x:c>
      <x:c r="D5" s="24" t="n">
        <x:v>9e-8</x:v>
      </x:c>
      <x:c r="E5" s="24" t="n">
        <x:v>0.000001</x:v>
      </x:c>
      <x:c r="F5" t="str">
        <x:v>OK</x:v>
      </x:c>
      <x:c r="G5" s="23" t="str">
        <x:v>M01-M03 and Q2-Q4 Base/Peak must tie exactly.</x:v>
      </x:c>
    </x:row>
    <x:row r="6">
      <x:c r="A6" s="23" t="str">
        <x:v>Maximum usable-product error (EUR/MWh)</x:v>
      </x:c>
      <x:c r="B6" s="24" t="n">
        <x:v>0.00442749</x:v>
      </x:c>
      <x:c r="C6" t="n">
        <x:v>0</x:v>
      </x:c>
      <x:c r="D6" s="24" t="n">
        <x:v>0.00442749</x:v>
      </x:c>
      <x:c r="E6" s="24" t="n">
        <x:v>0.01</x:v>
      </x:c>
      <x:c r="F6" t="str">
        <x:v>OK</x:v>
      </x:c>
      <x:c r="G6" s="23" t="str">
        <x:v>Includes CAL and Q1 consistency checks.</x:v>
      </x:c>
    </x:row>
    <x:row r="7">
      <x:c r="A7" s="23" t="str">
        <x:v>Failed usable-product reconciliations</x:v>
      </x:c>
      <x:c r="B7" s="24" t="n">
        <x:v>0</x:v>
      </x:c>
      <x:c r="C7" t="n">
        <x:v>0</x:v>
      </x:c>
      <x:c r="D7" s="24" t="n">
        <x:v>0</x:v>
      </x:c>
      <x:c r="E7" s="24" t="n">
        <x:v>0</x:v>
      </x:c>
      <x:c r="F7" t="str">
        <x:v>OK</x:v>
      </x:c>
      <x:c r="G7" s="23" t="str">
        <x:v>Every usable quote is calibrated or cross-checked.</x:v>
      </x:c>
    </x:row>
    <x:row r="8">
      <x:c r="A8" s="23" t="str">
        <x:v>Quarter-hours outside calibration coverage</x:v>
      </x:c>
      <x:c r="B8" s="24" t="n">
        <x:v>0</x:v>
      </x:c>
      <x:c r="C8" t="n">
        <x:v>0</x:v>
      </x:c>
      <x:c r="D8" s="24" t="n">
        <x:v>0</x:v>
      </x:c>
      <x:c r="E8" s="24" t="n">
        <x:v>0</x:v>
      </x:c>
      <x:c r="F8" t="str">
        <x:v>OK</x:v>
      </x:c>
      <x:c r="G8" s="23" t="str">
        <x:v>The selected products cover the year without overlap or gaps.</x:v>
      </x:c>
    </x:row>
    <x:row r="9">
      <x:c r="A9" s="23" t="str">
        <x:v>Minimum HPFC price (EUR/MWh)</x:v>
      </x:c>
      <x:c r="B9" s="24" t="n">
        <x:v>9.754239</x:v>
      </x:c>
      <x:c r="C9" t="str">
        <x:v>&gt; 0</x:v>
      </x:c>
      <x:c r="D9" s="24" t="str"/>
      <x:c r="E9" s="24" t="str"/>
      <x:c r="F9" t="str">
        <x:v>OK</x:v>
      </x:c>
      <x:c r="G9" s="23" t="str">
        <x:v>Sanity check for this positive-price teaching curve.</x:v>
      </x:c>
    </x:row>
  </x:sheetData>
  <x:conditionalFormatting sqref="F2:F9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86eef7c20b149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22" hidden="0" customWidth="1"/>
    <x:col min="5" max="5" width="13" hidden="0" customWidth="1"/>
    <x:col min="6" max="6" width="13" hidden="0" customWidth="1"/>
    <x:col min="7" max="7" width="16" hidden="0" customWidth="1"/>
    <x:col min="8" max="8" width="18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1" customHeight="1">
      <x:c r="A1" s="22" t="str">
        <x:v>Period</x:v>
      </x:c>
      <x:c r="B1" s="22" t="str">
        <x:v>Base target</x:v>
      </x:c>
      <x:c r="C1" s="22" t="str">
        <x:v>Peak target</x:v>
      </x:c>
      <x:c r="D1" s="22" t="str">
        <x:v>Implied Off-Peak source</x:v>
      </x:c>
      <x:c r="E1" s="22" t="str">
        <x:v>QH all</x:v>
      </x:c>
      <x:c r="F1" s="22" t="str">
        <x:v>QH Peak</x:v>
      </x:c>
      <x:c r="G1" s="22" t="str">
        <x:v>QH Off-Peak</x:v>
      </x:c>
      <x:c r="H1" s="22" t="str">
        <x:v>Peak shape mean</x:v>
      </x:c>
      <x:c r="I1" s="22" t="str">
        <x:v>Off-Peak shape mean</x:v>
      </x:c>
      <x:c r="J1" s="28" t="str">
        <x:v>Calculated Off-Peak</x:v>
      </x:c>
      <x:c r="K1" s="28" t="str">
        <x:v>Difference</x:v>
      </x:c>
    </x:row>
    <x:row r="2">
      <x:c r="A2" t="str">
        <x:v>M01</x:v>
      </x:c>
      <x:c r="B2" s="25" t="n">
        <x:v>75.32</x:v>
      </x:c>
      <x:c r="C2" s="25" t="n">
        <x:v>88.68</x:v>
      </x:c>
      <x:c r="D2" s="25" t="n">
        <x:v>67.44102564</x:v>
      </x:c>
      <x:c r="E2" s="26" t="n">
        <x:v>2976</x:v>
      </x:c>
      <x:c r="F2" s="26" t="n">
        <x:v>1104</x:v>
      </x:c>
      <x:c r="G2" s="26" t="n">
        <x:v>1872</x:v>
      </x:c>
      <x:c r="H2" s="27" t="n">
        <x:v>1.16262081</x:v>
      </x:c>
      <x:c r="I2" s="27" t="n">
        <x:v>0.93700505</x:v>
      </x:c>
      <x:c r="J2" s="30" t="n">
        <x:f>(B2*E2-C2*F2)/G2</x:f>
        <x:v>67.44102564102563</x:v>
      </x:c>
      <x:c r="K2" s="30" t="n">
        <x:f>J2-D2</x:f>
        <x:v>1.025625806505559e-9</x:v>
      </x:c>
    </x:row>
    <x:row r="3">
      <x:c r="A3" t="str">
        <x:v>M02</x:v>
      </x:c>
      <x:c r="B3" s="25" t="n">
        <x:v>60.09</x:v>
      </x:c>
      <x:c r="C3" s="25" t="n">
        <x:v>70.59</x:v>
      </x:c>
      <x:c r="D3" s="25" t="n">
        <x:v>54.13054054</x:v>
      </x:c>
      <x:c r="E3" s="26" t="n">
        <x:v>2784</x:v>
      </x:c>
      <x:c r="F3" s="26" t="n">
        <x:v>1008</x:v>
      </x:c>
      <x:c r="G3" s="26" t="n">
        <x:v>1776</x:v>
      </x:c>
      <x:c r="H3" s="27" t="n">
        <x:v>1.00188602</x:v>
      </x:c>
      <x:c r="I3" s="27" t="n">
        <x:v>0.80092284</x:v>
      </x:c>
      <x:c r="J3" s="30" t="n">
        <x:f>(B3*E3-C3*F3)/G3</x:f>
        <x:v>54.13054054054054</x:v>
      </x:c>
      <x:c r="K3" s="30" t="n">
        <x:f>J3-D3</x:f>
        <x:v>5.405382808021386e-10</x:v>
      </x:c>
    </x:row>
    <x:row r="4">
      <x:c r="A4" t="str">
        <x:v>M03</x:v>
      </x:c>
      <x:c r="B4" s="25" t="n">
        <x:v>63.45</x:v>
      </x:c>
      <x:c r="C4" s="25" t="n">
        <x:v>72.79</x:v>
      </x:c>
      <x:c r="D4" s="25" t="n">
        <x:v>58.65635438</x:v>
      </x:c>
      <x:c r="E4" s="26" t="n">
        <x:v>2972</x:v>
      </x:c>
      <x:c r="F4" s="26" t="n">
        <x:v>1008</x:v>
      </x:c>
      <x:c r="G4" s="26" t="n">
        <x:v>1964</x:v>
      </x:c>
      <x:c r="H4" s="27" t="n">
        <x:v>0.91574105</x:v>
      </x:c>
      <x:c r="I4" s="27" t="n">
        <x:v>0.72112071</x:v>
      </x:c>
      <x:c r="J4" s="30" t="n">
        <x:f>(B4*E4-C4*F4)/G4</x:f>
        <x:v>58.65635437881873</x:v>
      </x:c>
      <x:c r="K4" s="30" t="n">
        <x:f>J4-D4</x:f>
        <x:v>-1.181270192773809e-9</x:v>
      </x:c>
    </x:row>
    <x:row r="5">
      <x:c r="A5" t="str">
        <x:v>Q2</x:v>
      </x:c>
      <x:c r="B5" s="25" t="n">
        <x:v>66.23</x:v>
      </x:c>
      <x:c r="C5" s="25" t="n">
        <x:v>64.76</x:v>
      </x:c>
      <x:c r="D5" s="25" t="n">
        <x:v>67.04666667</x:v>
      </x:c>
      <x:c r="E5" s="26" t="n">
        <x:v>8736</x:v>
      </x:c>
      <x:c r="F5" s="26" t="n">
        <x:v>3120</x:v>
      </x:c>
      <x:c r="G5" s="26" t="n">
        <x:v>5616</x:v>
      </x:c>
      <x:c r="H5" s="27" t="n">
        <x:v>0.97332004</x:v>
      </x:c>
      <x:c r="I5" s="27" t="n">
        <x:v>0.83948023</x:v>
      </x:c>
      <x:c r="J5" s="30" t="n">
        <x:f>(B5*E5-C5*F5)/G5</x:f>
        <x:v>67.04666666666667</x:v>
      </x:c>
      <x:c r="K5" s="30" t="n">
        <x:f>J5-D5</x:f>
        <x:v>-3.3333265037072124e-9</x:v>
      </x:c>
    </x:row>
    <x:row r="6">
      <x:c r="A6" t="str">
        <x:v>Q3</x:v>
      </x:c>
      <x:c r="B6" s="25" t="n">
        <x:v>74.74</x:v>
      </x:c>
      <x:c r="C6" s="25" t="n">
        <x:v>69.07</x:v>
      </x:c>
      <x:c r="D6" s="25" t="n">
        <x:v>77.91135593</x:v>
      </x:c>
      <x:c r="E6" s="26" t="n">
        <x:v>8832</x:v>
      </x:c>
      <x:c r="F6" s="26" t="n">
        <x:v>3168</x:v>
      </x:c>
      <x:c r="G6" s="26" t="n">
        <x:v>5664</x:v>
      </x:c>
      <x:c r="H6" s="27" t="n">
        <x:v>1.297407</x:v>
      </x:c>
      <x:c r="I6" s="27" t="n">
        <x:v>1.0260193</x:v>
      </x:c>
      <x:c r="J6" s="30" t="n">
        <x:f>(B6*E6-C6*F6)/G6</x:f>
        <x:v>77.91135593220338</x:v>
      </x:c>
      <x:c r="K6" s="30" t="n">
        <x:f>J6-D6</x:f>
        <x:v>2.2033788127373555e-9</x:v>
      </x:c>
    </x:row>
    <x:row r="7">
      <x:c r="A7" t="str">
        <x:v>Q4</x:v>
      </x:c>
      <x:c r="B7" s="25" t="n">
        <x:v>101.39</x:v>
      </x:c>
      <x:c r="C7" s="25" t="n">
        <x:v>134.42</x:v>
      </x:c>
      <x:c r="D7" s="25" t="n">
        <x:v>82.92863091</x:v>
      </x:c>
      <x:c r="E7" s="26" t="n">
        <x:v>8836</x:v>
      </x:c>
      <x:c r="F7" s="26" t="n">
        <x:v>3168</x:v>
      </x:c>
      <x:c r="G7" s="26" t="n">
        <x:v>5668</x:v>
      </x:c>
      <x:c r="H7" s="27" t="n">
        <x:v>1.35979711</x:v>
      </x:c>
      <x:c r="I7" s="27" t="n">
        <x:v>0.94319506</x:v>
      </x:c>
      <x:c r="J7" s="30" t="n">
        <x:f>(B7*E7-C7*F7)/G7</x:f>
        <x:v>82.92863091037405</x:v>
      </x:c>
      <x:c r="K7" s="30" t="n">
        <x:f>J7-D7</x:f>
        <x:v>3.7405811781354714e-10</x:v>
      </x:c>
    </x:row>
  </x:sheetData>
  <x:pageMargins left="0.7" right="0.7" top="0.75" bottom="0.75" header="0.3" footer="0.3"/>
  <x:tableParts count="1">
    <x:tablePart xmlns:r="http://schemas.openxmlformats.org/officeDocument/2006/relationships" r:id="R77e81103aca340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7" hidden="0" customWidth="1"/>
    <x:col min="5" max="5" width="17" hidden="0" customWidth="1"/>
    <x:col min="6" max="6" width="22" hidden="0" customWidth="1"/>
    <x:col min="7" max="7" width="19" hidden="0" customWidth="1"/>
    <x:col min="8" max="8" width="24" hidden="0" customWidth="1"/>
  </x:cols>
  <x:sheetData>
    <x:row r="1" ht="31" customHeight="1">
      <x:c r="A1" s="22" t="str">
        <x:v>Load type</x:v>
      </x:c>
      <x:c r="B1" s="22" t="str">
        <x:v>Period</x:v>
      </x:c>
      <x:c r="C1" s="22" t="str">
        <x:v>Calibration flag</x:v>
      </x:c>
      <x:c r="D1" s="22" t="str">
        <x:v>Market activity</x:v>
      </x:c>
      <x:c r="E1" s="22" t="str">
        <x:v>Futures quote</x:v>
      </x:c>
      <x:c r="F1" s="22" t="str">
        <x:v>HPFC block average</x:v>
      </x:c>
      <x:c r="G1" s="28" t="str">
        <x:v>Difference</x:v>
      </x:c>
      <x:c r="H1" s="28" t="str">
        <x:v>Status</x:v>
      </x:c>
    </x:row>
    <x:row r="2">
      <x:c r="A2" t="str">
        <x:v>BASE</x:v>
      </x:c>
      <x:c r="B2" t="str">
        <x:v>CAL</x:v>
      </x:c>
      <x:c r="C2" s="31" t="n">
        <x:v>0</x:v>
      </x:c>
      <x:c r="D2" s="26" t="n">
        <x:v>5000</x:v>
      </x:c>
      <x:c r="E2" s="25" t="n">
        <x:v>77.26</x:v>
      </x:c>
      <x:c r="F2" s="25" t="n">
        <x:v>77.25942851</x:v>
      </x:c>
      <x:c r="G2" s="25" t="n">
        <x:f>F2-E2</x:f>
        <x:v>-0.0005714899999986756</x:v>
      </x:c>
      <x:c r="H2" t="str">
        <x:f>IF(C2=1,IF(ABS(G2)&lt;='Inputs'!$B$4,"OK_CALIBRATED","FAIL"),IF(D2&gt;'Inputs'!$B$6,IF(ABS(G2)&lt;='Inputs'!$B$5,"OK_CROSS_CHECK","FAIL"),IF(D2&lt;='Inputs'!$B$7,"NOT_USED_ILLIQUID","REVIEW")))</x:f>
        <x:v>OK_CROSS_CHECK</x:v>
      </x:c>
    </x:row>
    <x:row r="3">
      <x:c r="A3" t="str">
        <x:v>PEAK</x:v>
      </x:c>
      <x:c r="B3" t="str">
        <x:v>CAL</x:v>
      </x:c>
      <x:c r="C3" s="31" t="n">
        <x:v>0</x:v>
      </x:c>
      <x:c r="D3" s="26" t="n">
        <x:v>1400</x:v>
      </x:c>
      <x:c r="E3" s="25" t="n">
        <x:v>86.6</x:v>
      </x:c>
      <x:c r="F3" s="25" t="n">
        <x:v>86.60442749</x:v>
      </x:c>
      <x:c r="G3" s="25" t="n">
        <x:f>F3-E3</x:f>
        <x:v>0.004427490000011858</x:v>
      </x:c>
      <x:c r="H3" t="str">
        <x:f>IF(C3=1,IF(ABS(G3)&lt;='Inputs'!$B$4,"OK_CALIBRATED","FAIL"),IF(D3&gt;'Inputs'!$B$6,IF(ABS(G3)&lt;='Inputs'!$B$5,"OK_CROSS_CHECK","FAIL"),IF(D3&lt;='Inputs'!$B$7,"NOT_USED_ILLIQUID","REVIEW")))</x:f>
        <x:v>OK_CROSS_CHECK</x:v>
      </x:c>
    </x:row>
    <x:row r="4">
      <x:c r="A4" t="str">
        <x:v>BASE</x:v>
      </x:c>
      <x:c r="B4" t="str">
        <x:v>Q1</x:v>
      </x:c>
      <x:c r="C4" s="31" t="n">
        <x:v>0</x:v>
      </x:c>
      <x:c r="D4" s="26" t="n">
        <x:v>3000</x:v>
      </x:c>
      <x:c r="E4" s="25" t="n">
        <x:v>66.42</x:v>
      </x:c>
      <x:c r="F4" s="25" t="n">
        <x:v>66.42421898</x:v>
      </x:c>
      <x:c r="G4" s="25" t="n">
        <x:f>F4-E4</x:f>
        <x:v>0.004218980000004535</x:v>
      </x:c>
      <x:c r="H4" t="str">
        <x:f>IF(C4=1,IF(ABS(G4)&lt;='Inputs'!$B$4,"OK_CALIBRATED","FAIL"),IF(D4&gt;'Inputs'!$B$6,IF(ABS(G4)&lt;='Inputs'!$B$5,"OK_CROSS_CHECK","FAIL"),IF(D4&lt;='Inputs'!$B$7,"NOT_USED_ILLIQUID","REVIEW")))</x:f>
        <x:v>OK_CROSS_CHECK</x:v>
      </x:c>
    </x:row>
    <x:row r="5">
      <x:c r="A5" t="str">
        <x:v>PEAK</x:v>
      </x:c>
      <x:c r="B5" t="str">
        <x:v>Q1</x:v>
      </x:c>
      <x:c r="C5" s="31" t="n">
        <x:v>0</x:v>
      </x:c>
      <x:c r="D5" s="26" t="n">
        <x:v>840</x:v>
      </x:c>
      <x:c r="E5" s="25" t="n">
        <x:v>77.7</x:v>
      </x:c>
      <x:c r="F5" s="25" t="n">
        <x:v>77.70184618</x:v>
      </x:c>
      <x:c r="G5" s="25" t="n">
        <x:f>F5-E5</x:f>
        <x:v>0.0018461800000011408</x:v>
      </x:c>
      <x:c r="H5" t="str">
        <x:f>IF(C5=1,IF(ABS(G5)&lt;='Inputs'!$B$4,"OK_CALIBRATED","FAIL"),IF(D5&gt;'Inputs'!$B$6,IF(ABS(G5)&lt;='Inputs'!$B$5,"OK_CROSS_CHECK","FAIL"),IF(D5&lt;='Inputs'!$B$7,"NOT_USED_ILLIQUID","REVIEW")))</x:f>
        <x:v>OK_CROSS_CHECK</x:v>
      </x:c>
    </x:row>
    <x:row r="6">
      <x:c r="A6" t="str">
        <x:v>BASE</x:v>
      </x:c>
      <x:c r="B6" t="str">
        <x:v>Q2</x:v>
      </x:c>
      <x:c r="C6" s="31" t="n">
        <x:v>1</x:v>
      </x:c>
      <x:c r="D6" s="26" t="n">
        <x:v>2200</x:v>
      </x:c>
      <x:c r="E6" s="25" t="n">
        <x:v>66.23</x:v>
      </x:c>
      <x:c r="F6" s="25" t="n">
        <x:v>66.22999999</x:v>
      </x:c>
      <x:c r="G6" s="25" t="n">
        <x:f>F6-E6</x:f>
        <x:v>-1.0000007932831068e-8</x:v>
      </x:c>
      <x:c r="H6" t="str">
        <x:f>IF(C6=1,IF(ABS(G6)&lt;='Inputs'!$B$4,"OK_CALIBRATED","FAIL"),IF(D6&gt;'Inputs'!$B$6,IF(ABS(G6)&lt;='Inputs'!$B$5,"OK_CROSS_CHECK","FAIL"),IF(D6&lt;='Inputs'!$B$7,"NOT_USED_ILLIQUID","REVIEW")))</x:f>
        <x:v>OK_CALIBRATED</x:v>
      </x:c>
    </x:row>
    <x:row r="7">
      <x:c r="A7" t="str">
        <x:v>PEAK</x:v>
      </x:c>
      <x:c r="B7" t="str">
        <x:v>Q2</x:v>
      </x:c>
      <x:c r="C7" s="31" t="n">
        <x:v>1</x:v>
      </x:c>
      <x:c r="D7" s="26" t="n">
        <x:v>616</x:v>
      </x:c>
      <x:c r="E7" s="25" t="n">
        <x:v>64.76</x:v>
      </x:c>
      <x:c r="F7" s="25" t="n">
        <x:v>64.75999995</x:v>
      </x:c>
      <x:c r="G7" s="25" t="n">
        <x:f>F7-E7</x:f>
        <x:v>-5.000001124244591e-8</x:v>
      </x:c>
      <x:c r="H7" t="str">
        <x:f>IF(C7=1,IF(ABS(G7)&lt;='Inputs'!$B$4,"OK_CALIBRATED","FAIL"),IF(D7&gt;'Inputs'!$B$6,IF(ABS(G7)&lt;='Inputs'!$B$5,"OK_CROSS_CHECK","FAIL"),IF(D7&lt;='Inputs'!$B$7,"NOT_USED_ILLIQUID","REVIEW")))</x:f>
        <x:v>OK_CALIBRATED</x:v>
      </x:c>
    </x:row>
    <x:row r="8">
      <x:c r="A8" t="str">
        <x:v>BASE</x:v>
      </x:c>
      <x:c r="B8" t="str">
        <x:v>Q3</x:v>
      </x:c>
      <x:c r="C8" s="31" t="n">
        <x:v>1</x:v>
      </x:c>
      <x:c r="D8" s="26" t="n">
        <x:v>1600</x:v>
      </x:c>
      <x:c r="E8" s="25" t="n">
        <x:v>74.74</x:v>
      </x:c>
      <x:c r="F8" s="25" t="n">
        <x:v>74.73999999</x:v>
      </x:c>
      <x:c r="G8" s="25" t="n">
        <x:f>F8-E8</x:f>
        <x:v>-9.999993721976352e-9</x:v>
      </x:c>
      <x:c r="H8" t="str">
        <x:f>IF(C8=1,IF(ABS(G8)&lt;='Inputs'!$B$4,"OK_CALIBRATED","FAIL"),IF(D8&gt;'Inputs'!$B$6,IF(ABS(G8)&lt;='Inputs'!$B$5,"OK_CROSS_CHECK","FAIL"),IF(D8&lt;='Inputs'!$B$7,"NOT_USED_ILLIQUID","REVIEW")))</x:f>
        <x:v>OK_CALIBRATED</x:v>
      </x:c>
    </x:row>
    <x:row r="9">
      <x:c r="A9" t="str">
        <x:v>PEAK</x:v>
      </x:c>
      <x:c r="B9" t="str">
        <x:v>Q3</x:v>
      </x:c>
      <x:c r="C9" s="31" t="n">
        <x:v>1</x:v>
      </x:c>
      <x:c r="D9" s="26" t="n">
        <x:v>448</x:v>
      </x:c>
      <x:c r="E9" s="25" t="n">
        <x:v>69.07</x:v>
      </x:c>
      <x:c r="F9" s="25" t="n">
        <x:v>69.07000003</x:v>
      </x:c>
      <x:c r="G9" s="25" t="n">
        <x:f>F9-E9</x:f>
        <x:v>3.000000958763849e-8</x:v>
      </x:c>
      <x:c r="H9" t="str">
        <x:f>IF(C9=1,IF(ABS(G9)&lt;='Inputs'!$B$4,"OK_CALIBRATED","FAIL"),IF(D9&gt;'Inputs'!$B$6,IF(ABS(G9)&lt;='Inputs'!$B$5,"OK_CROSS_CHECK","FAIL"),IF(D9&lt;='Inputs'!$B$7,"NOT_USED_ILLIQUID","REVIEW")))</x:f>
        <x:v>OK_CALIBRATED</x:v>
      </x:c>
    </x:row>
    <x:row r="10">
      <x:c r="A10" t="str">
        <x:v>BASE</x:v>
      </x:c>
      <x:c r="B10" t="str">
        <x:v>Q4</x:v>
      </x:c>
      <x:c r="C10" s="31" t="n">
        <x:v>1</x:v>
      </x:c>
      <x:c r="D10" s="26" t="n">
        <x:v>1400</x:v>
      </x:c>
      <x:c r="E10" s="25" t="n">
        <x:v>101.39</x:v>
      </x:c>
      <x:c r="F10" s="25" t="n">
        <x:v>101.39000002</x:v>
      </x:c>
      <x:c r="G10" s="25" t="n">
        <x:f>F10-E10</x:f>
        <x:v>2.000000165480742e-8</x:v>
      </x:c>
      <x:c r="H10" t="str">
        <x:f>IF(C10=1,IF(ABS(G10)&lt;='Inputs'!$B$4,"OK_CALIBRATED","FAIL"),IF(D10&gt;'Inputs'!$B$6,IF(ABS(G10)&lt;='Inputs'!$B$5,"OK_CROSS_CHECK","FAIL"),IF(D10&lt;='Inputs'!$B$7,"NOT_USED_ILLIQUID","REVIEW")))</x:f>
        <x:v>OK_CALIBRATED</x:v>
      </x:c>
    </x:row>
    <x:row r="11">
      <x:c r="A11" t="str">
        <x:v>PEAK</x:v>
      </x:c>
      <x:c r="B11" t="str">
        <x:v>Q4</x:v>
      </x:c>
      <x:c r="C11" s="31" t="n">
        <x:v>1</x:v>
      </x:c>
      <x:c r="D11" s="26" t="n">
        <x:v>392</x:v>
      </x:c>
      <x:c r="E11" s="25" t="n">
        <x:v>134.42</x:v>
      </x:c>
      <x:c r="F11" s="25" t="n">
        <x:v>134.42000003</x:v>
      </x:c>
      <x:c r="G11" s="25" t="n">
        <x:f>F11-E11</x:f>
        <x:v>3.00000237984932e-8</x:v>
      </x:c>
      <x:c r="H11" t="str">
        <x:f>IF(C11=1,IF(ABS(G11)&lt;='Inputs'!$B$4,"OK_CALIBRATED","FAIL"),IF(D11&gt;'Inputs'!$B$6,IF(ABS(G11)&lt;='Inputs'!$B$5,"OK_CROSS_CHECK","FAIL"),IF(D11&lt;='Inputs'!$B$7,"NOT_USED_ILLIQUID","REVIEW")))</x:f>
        <x:v>OK_CALIBRATED</x:v>
      </x:c>
    </x:row>
    <x:row r="12">
      <x:c r="A12" t="str">
        <x:v>BASE</x:v>
      </x:c>
      <x:c r="B12" t="str">
        <x:v>M01</x:v>
      </x:c>
      <x:c r="C12" s="31" t="n">
        <x:v>1</x:v>
      </x:c>
      <x:c r="D12" s="26" t="n">
        <x:v>900</x:v>
      </x:c>
      <x:c r="E12" s="25" t="n">
        <x:v>75.32</x:v>
      </x:c>
      <x:c r="F12" s="25" t="n">
        <x:v>75.32000009</x:v>
      </x:c>
      <x:c r="G12" s="25" t="n">
        <x:f>F12-E12</x:f>
        <x:v>9.000000034120603e-8</x:v>
      </x:c>
      <x:c r="H12" t="str">
        <x:f>IF(C12=1,IF(ABS(G12)&lt;='Inputs'!$B$4,"OK_CALIBRATED","FAIL"),IF(D12&gt;'Inputs'!$B$6,IF(ABS(G12)&lt;='Inputs'!$B$5,"OK_CROSS_CHECK","FAIL"),IF(D12&lt;='Inputs'!$B$7,"NOT_USED_ILLIQUID","REVIEW")))</x:f>
        <x:v>OK_CALIBRATED</x:v>
      </x:c>
    </x:row>
    <x:row r="13">
      <x:c r="A13" t="str">
        <x:v>PEAK</x:v>
      </x:c>
      <x:c r="B13" t="str">
        <x:v>M01</x:v>
      </x:c>
      <x:c r="C13" s="31" t="n">
        <x:v>1</x:v>
      </x:c>
      <x:c r="D13" s="26" t="n">
        <x:v>252</x:v>
      </x:c>
      <x:c r="E13" s="25" t="n">
        <x:v>88.68</x:v>
      </x:c>
      <x:c r="F13" s="25" t="n">
        <x:v>88.68000008</x:v>
      </x:c>
      <x:c r="G13" s="25" t="n">
        <x:f>F13-E13</x:f>
        <x:v>7.999999240837496e-8</x:v>
      </x:c>
      <x:c r="H13" t="str">
        <x:f>IF(C13=1,IF(ABS(G13)&lt;='Inputs'!$B$4,"OK_CALIBRATED","FAIL"),IF(D13&gt;'Inputs'!$B$6,IF(ABS(G13)&lt;='Inputs'!$B$5,"OK_CROSS_CHECK","FAIL"),IF(D13&lt;='Inputs'!$B$7,"NOT_USED_ILLIQUID","REVIEW")))</x:f>
        <x:v>OK_CALIBRATED</x:v>
      </x:c>
    </x:row>
    <x:row r="14">
      <x:c r="A14" t="str">
        <x:v>BASE</x:v>
      </x:c>
      <x:c r="B14" t="str">
        <x:v>M02</x:v>
      </x:c>
      <x:c r="C14" s="31" t="n">
        <x:v>1</x:v>
      </x:c>
      <x:c r="D14" s="26" t="n">
        <x:v>800</x:v>
      </x:c>
      <x:c r="E14" s="25" t="n">
        <x:v>60.09</x:v>
      </x:c>
      <x:c r="F14" s="25" t="n">
        <x:v>60.08999996</x:v>
      </x:c>
      <x:c r="G14" s="25" t="n">
        <x:f>F14-E14</x:f>
        <x:v>-4.000000330961484e-8</x:v>
      </x:c>
      <x:c r="H14" t="str">
        <x:f>IF(C14=1,IF(ABS(G14)&lt;='Inputs'!$B$4,"OK_CALIBRATED","FAIL"),IF(D14&gt;'Inputs'!$B$6,IF(ABS(G14)&lt;='Inputs'!$B$5,"OK_CROSS_CHECK","FAIL"),IF(D14&lt;='Inputs'!$B$7,"NOT_USED_ILLIQUID","REVIEW")))</x:f>
        <x:v>OK_CALIBRATED</x:v>
      </x:c>
    </x:row>
    <x:row r="15">
      <x:c r="A15" t="str">
        <x:v>PEAK</x:v>
      </x:c>
      <x:c r="B15" t="str">
        <x:v>M02</x:v>
      </x:c>
      <x:c r="C15" s="31" t="n">
        <x:v>1</x:v>
      </x:c>
      <x:c r="D15" s="26" t="n">
        <x:v>224</x:v>
      </x:c>
      <x:c r="E15" s="25" t="n">
        <x:v>70.59</x:v>
      </x:c>
      <x:c r="F15" s="25" t="n">
        <x:v>70.59</x:v>
      </x:c>
      <x:c r="G15" s="25" t="n">
        <x:f>F15-E15</x:f>
        <x:v>0</x:v>
      </x:c>
      <x:c r="H15" t="str">
        <x:f>IF(C15=1,IF(ABS(G15)&lt;='Inputs'!$B$4,"OK_CALIBRATED","FAIL"),IF(D15&gt;'Inputs'!$B$6,IF(ABS(G15)&lt;='Inputs'!$B$5,"OK_CROSS_CHECK","FAIL"),IF(D15&lt;='Inputs'!$B$7,"NOT_USED_ILLIQUID","REVIEW")))</x:f>
        <x:v>OK_CALIBRATED</x:v>
      </x:c>
    </x:row>
    <x:row r="16">
      <x:c r="A16" t="str">
        <x:v>BASE</x:v>
      </x:c>
      <x:c r="B16" t="str">
        <x:v>M03</x:v>
      </x:c>
      <x:c r="C16" s="31" t="n">
        <x:v>1</x:v>
      </x:c>
      <x:c r="D16" s="26" t="n">
        <x:v>650</x:v>
      </x:c>
      <x:c r="E16" s="25" t="n">
        <x:v>63.45</x:v>
      </x:c>
      <x:c r="F16" s="25" t="n">
        <x:v>63.45000001</x:v>
      </x:c>
      <x:c r="G16" s="25" t="n">
        <x:f>F16-E16</x:f>
        <x:v>9.999993721976352e-9</x:v>
      </x:c>
      <x:c r="H16" t="str">
        <x:f>IF(C16=1,IF(ABS(G16)&lt;='Inputs'!$B$4,"OK_CALIBRATED","FAIL"),IF(D16&gt;'Inputs'!$B$6,IF(ABS(G16)&lt;='Inputs'!$B$5,"OK_CROSS_CHECK","FAIL"),IF(D16&lt;='Inputs'!$B$7,"NOT_USED_ILLIQUID","REVIEW")))</x:f>
        <x:v>OK_CALIBRATED</x:v>
      </x:c>
    </x:row>
    <x:row r="17">
      <x:c r="A17" t="str">
        <x:v>PEAK</x:v>
      </x:c>
      <x:c r="B17" t="str">
        <x:v>M03</x:v>
      </x:c>
      <x:c r="C17" s="31" t="n">
        <x:v>1</x:v>
      </x:c>
      <x:c r="D17" s="26" t="n">
        <x:v>182</x:v>
      </x:c>
      <x:c r="E17" s="25" t="n">
        <x:v>72.79</x:v>
      </x:c>
      <x:c r="F17" s="25" t="n">
        <x:v>72.79</x:v>
      </x:c>
      <x:c r="G17" s="25" t="n">
        <x:f>F17-E17</x:f>
        <x:v>0</x:v>
      </x:c>
      <x:c r="H17" t="str">
        <x:f>IF(C17=1,IF(ABS(G17)&lt;='Inputs'!$B$4,"OK_CALIBRATED","FAIL"),IF(D17&gt;'Inputs'!$B$6,IF(ABS(G17)&lt;='Inputs'!$B$5,"OK_CROSS_CHECK","FAIL"),IF(D17&lt;='Inputs'!$B$7,"NOT_USED_ILLIQUID","REVIEW")))</x:f>
        <x:v>OK_CALIBRATED</x:v>
      </x:c>
    </x:row>
    <x:row r="18">
      <x:c r="A18" t="str">
        <x:v>BASE</x:v>
      </x:c>
      <x:c r="B18" t="str">
        <x:v>M04</x:v>
      </x:c>
      <x:c r="C18" s="31" t="n">
        <x:v>0</x:v>
      </x:c>
      <x:c r="D18" s="26" t="n">
        <x:v>10</x:v>
      </x:c>
      <x:c r="E18" s="25" t="n">
        <x:v>67.11</x:v>
      </x:c>
      <x:c r="F18" s="25" t="n">
        <x:v>62.107518</x:v>
      </x:c>
      <x:c r="G18" s="25" t="n">
        <x:f>F18-E18</x:f>
        <x:v>-5.0024820000000005</x:v>
      </x:c>
      <x:c r="H18" t="str">
        <x:f>IF(C18=1,IF(ABS(G18)&lt;='Inputs'!$B$4,"OK_CALIBRATED","FAIL"),IF(D18&gt;'Inputs'!$B$6,IF(ABS(G18)&lt;='Inputs'!$B$5,"OK_CROSS_CHECK","FAIL"),IF(D18&lt;='Inputs'!$B$7,"NOT_USED_ILLIQUID","REVIEW")))</x:f>
        <x:v>NOT_USED_ILLIQUID</x:v>
      </x:c>
    </x:row>
    <x:row r="19">
      <x:c r="A19" t="str">
        <x:v>PEAK</x:v>
      </x:c>
      <x:c r="B19" t="str">
        <x:v>M04</x:v>
      </x:c>
      <x:c r="C19" s="31" t="n">
        <x:v>0</x:v>
      </x:c>
      <x:c r="D19" s="26" t="n">
        <x:v>3</x:v>
      </x:c>
      <x:c r="E19" s="25" t="n">
        <x:v>72.56</x:v>
      </x:c>
      <x:c r="F19" s="25" t="n">
        <x:v>59.18321542</x:v>
      </x:c>
      <x:c r="G19" s="25" t="n">
        <x:f>F19-E19</x:f>
        <x:v>-13.376784579999999</x:v>
      </x:c>
      <x:c r="H19" t="str">
        <x:f>IF(C19=1,IF(ABS(G19)&lt;='Inputs'!$B$4,"OK_CALIBRATED","FAIL"),IF(D19&gt;'Inputs'!$B$6,IF(ABS(G19)&lt;='Inputs'!$B$5,"OK_CROSS_CHECK","FAIL"),IF(D19&lt;='Inputs'!$B$7,"NOT_USED_ILLIQUID","REVIEW")))</x:f>
        <x:v>NOT_USED_ILLIQUID</x:v>
      </x:c>
    </x:row>
    <x:row r="20">
      <x:c r="A20" t="str">
        <x:v>BASE</x:v>
      </x:c>
      <x:c r="B20" t="str">
        <x:v>M05</x:v>
      </x:c>
      <x:c r="C20" s="31" t="n">
        <x:v>0</x:v>
      </x:c>
      <x:c r="D20" s="26" t="n">
        <x:v>8</x:v>
      </x:c>
      <x:c r="E20" s="25" t="n">
        <x:v>60.96</x:v>
      </x:c>
      <x:c r="F20" s="25" t="n">
        <x:v>60.63373795</x:v>
      </x:c>
      <x:c r="G20" s="25" t="n">
        <x:f>F20-E20</x:f>
        <x:v>-0.32626205000000397</x:v>
      </x:c>
      <x:c r="H20" t="str">
        <x:f>IF(C20=1,IF(ABS(G20)&lt;='Inputs'!$B$4,"OK_CALIBRATED","FAIL"),IF(D20&gt;'Inputs'!$B$6,IF(ABS(G20)&lt;='Inputs'!$B$5,"OK_CROSS_CHECK","FAIL"),IF(D20&lt;='Inputs'!$B$7,"NOT_USED_ILLIQUID","REVIEW")))</x:f>
        <x:v>NOT_USED_ILLIQUID</x:v>
      </x:c>
    </x:row>
    <x:row r="21">
      <x:c r="A21" t="str">
        <x:v>PEAK</x:v>
      </x:c>
      <x:c r="B21" t="str">
        <x:v>M05</x:v>
      </x:c>
      <x:c r="C21" s="31" t="n">
        <x:v>0</x:v>
      </x:c>
      <x:c r="D21" s="26" t="n">
        <x:v>2</x:v>
      </x:c>
      <x:c r="E21" s="25" t="n">
        <x:v>52.4</x:v>
      </x:c>
      <x:c r="F21" s="25" t="n">
        <x:v>59.43877092</x:v>
      </x:c>
      <x:c r="G21" s="25" t="n">
        <x:f>F21-E21</x:f>
        <x:v>7.038770920000005</x:v>
      </x:c>
      <x:c r="H21" t="str">
        <x:f>IF(C21=1,IF(ABS(G21)&lt;='Inputs'!$B$4,"OK_CALIBRATED","FAIL"),IF(D21&gt;'Inputs'!$B$6,IF(ABS(G21)&lt;='Inputs'!$B$5,"OK_CROSS_CHECK","FAIL"),IF(D21&lt;='Inputs'!$B$7,"NOT_USED_ILLIQUID","REVIEW")))</x:f>
        <x:v>NOT_USED_ILLIQUID</x:v>
      </x:c>
    </x:row>
    <x:row r="22">
      <x:c r="A22" t="str">
        <x:v>BASE</x:v>
      </x:c>
      <x:c r="B22" t="str">
        <x:v>M06</x:v>
      </x:c>
      <x:c r="C22" s="31" t="n">
        <x:v>0</x:v>
      </x:c>
      <x:c r="D22" s="26" t="n">
        <x:v>7</x:v>
      </x:c>
      <x:c r="E22" s="25" t="n">
        <x:v>79.64</x:v>
      </x:c>
      <x:c r="F22" s="25" t="n">
        <x:v>76.1352861</x:v>
      </x:c>
      <x:c r="G22" s="25" t="n">
        <x:f>F22-E22</x:f>
        <x:v>-3.5047138999999987</x:v>
      </x:c>
      <x:c r="H22" t="str">
        <x:f>IF(C22=1,IF(ABS(G22)&lt;='Inputs'!$B$4,"OK_CALIBRATED","FAIL"),IF(D22&gt;'Inputs'!$B$6,IF(ABS(G22)&lt;='Inputs'!$B$5,"OK_CROSS_CHECK","FAIL"),IF(D22&lt;='Inputs'!$B$7,"NOT_USED_ILLIQUID","REVIEW")))</x:f>
        <x:v>NOT_USED_ILLIQUID</x:v>
      </x:c>
    </x:row>
    <x:row r="23">
      <x:c r="A23" t="str">
        <x:v>PEAK</x:v>
      </x:c>
      <x:c r="B23" t="str">
        <x:v>M06</x:v>
      </x:c>
      <x:c r="C23" s="31" t="n">
        <x:v>0</x:v>
      </x:c>
      <x:c r="D23" s="26" t="n">
        <x:v>2</x:v>
      </x:c>
      <x:c r="E23" s="25" t="n">
        <x:v>80.57</x:v>
      </x:c>
      <x:c r="F23" s="25" t="n">
        <x:v>77.01387633</x:v>
      </x:c>
      <x:c r="G23" s="25" t="n">
        <x:f>F23-E23</x:f>
        <x:v>-3.556123669999991</x:v>
      </x:c>
      <x:c r="H23" t="str">
        <x:f>IF(C23=1,IF(ABS(G23)&lt;='Inputs'!$B$4,"OK_CALIBRATED","FAIL"),IF(D23&gt;'Inputs'!$B$6,IF(ABS(G23)&lt;='Inputs'!$B$5,"OK_CROSS_CHECK","FAIL"),IF(D23&lt;='Inputs'!$B$7,"NOT_USED_ILLIQUID","REVIEW")))</x:f>
        <x:v>NOT_USED_ILLIQUID</x:v>
      </x:c>
    </x:row>
    <x:row r="24">
      <x:c r="A24" t="str">
        <x:v>BASE</x:v>
      </x:c>
      <x:c r="B24" t="str">
        <x:v>M07</x:v>
      </x:c>
      <x:c r="C24" s="31" t="n">
        <x:v>0</x:v>
      </x:c>
      <x:c r="D24" s="26" t="n">
        <x:v>6</x:v>
      </x:c>
      <x:c r="E24" s="25" t="n">
        <x:v>59.45</x:v>
      </x:c>
      <x:c r="F24" s="25" t="n">
        <x:v>64.75916742</x:v>
      </x:c>
      <x:c r="G24" s="25" t="n">
        <x:f>F24-E24</x:f>
        <x:v>5.309167419999994</x:v>
      </x:c>
      <x:c r="H24" t="str">
        <x:f>IF(C24=1,IF(ABS(G24)&lt;='Inputs'!$B$4,"OK_CALIBRATED","FAIL"),IF(D24&gt;'Inputs'!$B$6,IF(ABS(G24)&lt;='Inputs'!$B$5,"OK_CROSS_CHECK","FAIL"),IF(D24&lt;='Inputs'!$B$7,"NOT_USED_ILLIQUID","REVIEW")))</x:f>
        <x:v>NOT_USED_ILLIQUID</x:v>
      </x:c>
    </x:row>
    <x:row r="25">
      <x:c r="A25" t="str">
        <x:v>PEAK</x:v>
      </x:c>
      <x:c r="B25" t="str">
        <x:v>M07</x:v>
      </x:c>
      <x:c r="C25" s="31" t="n">
        <x:v>0</x:v>
      </x:c>
      <x:c r="D25" s="26" t="n">
        <x:v>2</x:v>
      </x:c>
      <x:c r="E25" s="25" t="n">
        <x:v>49.47</x:v>
      </x:c>
      <x:c r="F25" s="25" t="n">
        <x:v>54.72600342</x:v>
      </x:c>
      <x:c r="G25" s="25" t="n">
        <x:f>F25-E25</x:f>
        <x:v>5.256003419999999</x:v>
      </x:c>
      <x:c r="H25" t="str">
        <x:f>IF(C25=1,IF(ABS(G25)&lt;='Inputs'!$B$4,"OK_CALIBRATED","FAIL"),IF(D25&gt;'Inputs'!$B$6,IF(ABS(G25)&lt;='Inputs'!$B$5,"OK_CROSS_CHECK","FAIL"),IF(D25&lt;='Inputs'!$B$7,"NOT_USED_ILLIQUID","REVIEW")))</x:f>
        <x:v>NOT_USED_ILLIQUID</x:v>
      </x:c>
    </x:row>
    <x:row r="26">
      <x:c r="A26" t="str">
        <x:v>BASE</x:v>
      </x:c>
      <x:c r="B26" t="str">
        <x:v>M08</x:v>
      </x:c>
      <x:c r="C26" s="31" t="n">
        <x:v>0</x:v>
      </x:c>
      <x:c r="D26" s="26" t="n">
        <x:v>5</x:v>
      </x:c>
      <x:c r="E26" s="25" t="n">
        <x:v>84.8</x:v>
      </x:c>
      <x:c r="F26" s="25" t="n">
        <x:v>70.08240897</x:v>
      </x:c>
      <x:c r="G26" s="25" t="n">
        <x:f>F26-E26</x:f>
        <x:v>-14.717591029999994</x:v>
      </x:c>
      <x:c r="H26" t="str">
        <x:f>IF(C26=1,IF(ABS(G26)&lt;='Inputs'!$B$4,"OK_CALIBRATED","FAIL"),IF(D26&gt;'Inputs'!$B$6,IF(ABS(G26)&lt;='Inputs'!$B$5,"OK_CROSS_CHECK","FAIL"),IF(D26&lt;='Inputs'!$B$7,"NOT_USED_ILLIQUID","REVIEW")))</x:f>
        <x:v>NOT_USED_ILLIQUID</x:v>
      </x:c>
    </x:row>
    <x:row r="27">
      <x:c r="A27" t="str">
        <x:v>PEAK</x:v>
      </x:c>
      <x:c r="B27" t="str">
        <x:v>M08</x:v>
      </x:c>
      <x:c r="C27" s="31" t="n">
        <x:v>0</x:v>
      </x:c>
      <x:c r="D27" s="26" t="n">
        <x:v>1</x:v>
      </x:c>
      <x:c r="E27" s="25" t="n">
        <x:v>74.16</x:v>
      </x:c>
      <x:c r="F27" s="25" t="n">
        <x:v>66.37868192</x:v>
      </x:c>
      <x:c r="G27" s="25" t="n">
        <x:f>F27-E27</x:f>
        <x:v>-7.781318079999991</x:v>
      </x:c>
      <x:c r="H27" t="str">
        <x:f>IF(C27=1,IF(ABS(G27)&lt;='Inputs'!$B$4,"OK_CALIBRATED","FAIL"),IF(D27&gt;'Inputs'!$B$6,IF(ABS(G27)&lt;='Inputs'!$B$5,"OK_CROSS_CHECK","FAIL"),IF(D27&lt;='Inputs'!$B$7,"NOT_USED_ILLIQUID","REVIEW")))</x:f>
        <x:v>NOT_USED_ILLIQUID</x:v>
      </x:c>
    </x:row>
    <x:row r="28">
      <x:c r="A28" t="str">
        <x:v>BASE</x:v>
      </x:c>
      <x:c r="B28" t="str">
        <x:v>M09</x:v>
      </x:c>
      <x:c r="C28" s="31" t="n">
        <x:v>0</x:v>
      </x:c>
      <x:c r="D28" s="26" t="n">
        <x:v>4</x:v>
      </x:c>
      <x:c r="E28" s="25" t="n">
        <x:v>73.06</x:v>
      </x:c>
      <x:c r="F28" s="25" t="n">
        <x:v>89.86637105</x:v>
      </x:c>
      <x:c r="G28" s="25" t="n">
        <x:f>F28-E28</x:f>
        <x:v>16.806371049999996</x:v>
      </x:c>
      <x:c r="H28" t="str">
        <x:f>IF(C28=1,IF(ABS(G28)&lt;='Inputs'!$B$4,"OK_CALIBRATED","FAIL"),IF(D28&gt;'Inputs'!$B$6,IF(ABS(G28)&lt;='Inputs'!$B$5,"OK_CROSS_CHECK","FAIL"),IF(D28&lt;='Inputs'!$B$7,"NOT_USED_ILLIQUID","REVIEW")))</x:f>
        <x:v>NOT_USED_ILLIQUID</x:v>
      </x:c>
    </x:row>
    <x:row r="29">
      <x:c r="A29" t="str">
        <x:v>PEAK</x:v>
      </x:c>
      <x:c r="B29" t="str">
        <x:v>M09</x:v>
      </x:c>
      <x:c r="C29" s="31" t="n">
        <x:v>0</x:v>
      </x:c>
      <x:c r="D29" s="26" t="n">
        <x:v>1</x:v>
      </x:c>
      <x:c r="E29" s="25" t="n">
        <x:v>76.62</x:v>
      </x:c>
      <x:c r="F29" s="25" t="n">
        <x:v>87.59956767</x:v>
      </x:c>
      <x:c r="G29" s="25" t="n">
        <x:f>F29-E29</x:f>
        <x:v>10.979567669999994</x:v>
      </x:c>
      <x:c r="H29" t="str">
        <x:f>IF(C29=1,IF(ABS(G29)&lt;='Inputs'!$B$4,"OK_CALIBRATED","FAIL"),IF(D29&gt;'Inputs'!$B$6,IF(ABS(G29)&lt;='Inputs'!$B$5,"OK_CROSS_CHECK","FAIL"),IF(D29&lt;='Inputs'!$B$7,"NOT_USED_ILLIQUID","REVIEW")))</x:f>
        <x:v>NOT_USED_ILLIQUID</x:v>
      </x:c>
    </x:row>
    <x:row r="30">
      <x:c r="A30" t="str">
        <x:v>BASE</x:v>
      </x:c>
      <x:c r="B30" t="str">
        <x:v>M10</x:v>
      </x:c>
      <x:c r="C30" s="31" t="n">
        <x:v>0</x:v>
      </x:c>
      <x:c r="D30" s="26" t="n">
        <x:v>3</x:v>
      </x:c>
      <x:c r="E30" s="25" t="n">
        <x:v>91.85</x:v>
      </x:c>
      <x:c r="F30" s="25" t="n">
        <x:v>93.36178871</x:v>
      </x:c>
      <x:c r="G30" s="25" t="n">
        <x:f>F30-E30</x:f>
        <x:v>1.5117887100000047</x:v>
      </x:c>
      <x:c r="H30" t="str">
        <x:f>IF(C30=1,IF(ABS(G30)&lt;='Inputs'!$B$4,"OK_CALIBRATED","FAIL"),IF(D30&gt;'Inputs'!$B$6,IF(ABS(G30)&lt;='Inputs'!$B$5,"OK_CROSS_CHECK","FAIL"),IF(D30&lt;='Inputs'!$B$7,"NOT_USED_ILLIQUID","REVIEW")))</x:f>
        <x:v>NOT_USED_ILLIQUID</x:v>
      </x:c>
    </x:row>
    <x:row r="31">
      <x:c r="A31" t="str">
        <x:v>PEAK</x:v>
      </x:c>
      <x:c r="B31" t="str">
        <x:v>M10</x:v>
      </x:c>
      <x:c r="C31" s="31" t="n">
        <x:v>0</x:v>
      </x:c>
      <x:c r="D31" s="26" t="n">
        <x:v>1</x:v>
      </x:c>
      <x:c r="E31" s="25" t="n">
        <x:v>111.59</x:v>
      </x:c>
      <x:c r="F31" s="25" t="n">
        <x:v>109.43911683</x:v>
      </x:c>
      <x:c r="G31" s="25" t="n">
        <x:f>F31-E31</x:f>
        <x:v>-2.15088317</x:v>
      </x:c>
      <x:c r="H31" t="str">
        <x:f>IF(C31=1,IF(ABS(G31)&lt;='Inputs'!$B$4,"OK_CALIBRATED","FAIL"),IF(D31&gt;'Inputs'!$B$6,IF(ABS(G31)&lt;='Inputs'!$B$5,"OK_CROSS_CHECK","FAIL"),IF(D31&lt;='Inputs'!$B$7,"NOT_USED_ILLIQUID","REVIEW")))</x:f>
        <x:v>NOT_USED_ILLIQUID</x:v>
      </x:c>
    </x:row>
    <x:row r="32">
      <x:c r="A32" t="str">
        <x:v>BASE</x:v>
      </x:c>
      <x:c r="B32" t="str">
        <x:v>M11</x:v>
      </x:c>
      <x:c r="C32" s="31" t="n">
        <x:v>0</x:v>
      </x:c>
      <x:c r="D32" s="26" t="n">
        <x:v>2</x:v>
      </x:c>
      <x:c r="E32" s="25" t="n">
        <x:v>106.66</x:v>
      </x:c>
      <x:c r="F32" s="25" t="n">
        <x:v>114.477323</x:v>
      </x:c>
      <x:c r="G32" s="25" t="n">
        <x:f>F32-E32</x:f>
        <x:v>7.817323000000002</x:v>
      </x:c>
      <x:c r="H32" t="str">
        <x:f>IF(C32=1,IF(ABS(G32)&lt;='Inputs'!$B$4,"OK_CALIBRATED","FAIL"),IF(D32&gt;'Inputs'!$B$6,IF(ABS(G32)&lt;='Inputs'!$B$5,"OK_CROSS_CHECK","FAIL"),IF(D32&lt;='Inputs'!$B$7,"NOT_USED_ILLIQUID","REVIEW")))</x:f>
        <x:v>NOT_USED_ILLIQUID</x:v>
      </x:c>
    </x:row>
    <x:row r="33">
      <x:c r="A33" t="str">
        <x:v>PEAK</x:v>
      </x:c>
      <x:c r="B33" t="str">
        <x:v>M11</x:v>
      </x:c>
      <x:c r="C33" s="31" t="n">
        <x:v>0</x:v>
      </x:c>
      <x:c r="D33" s="26" t="n">
        <x:v>1</x:v>
      </x:c>
      <x:c r="E33" s="25" t="n">
        <x:v>140.84</x:v>
      </x:c>
      <x:c r="F33" s="25" t="n">
        <x:v>166.70272758</x:v>
      </x:c>
      <x:c r="G33" s="25" t="n">
        <x:f>F33-E33</x:f>
        <x:v>25.862727579999984</x:v>
      </x:c>
      <x:c r="H33" t="str">
        <x:f>IF(C33=1,IF(ABS(G33)&lt;='Inputs'!$B$4,"OK_CALIBRATED","FAIL"),IF(D33&gt;'Inputs'!$B$6,IF(ABS(G33)&lt;='Inputs'!$B$5,"OK_CROSS_CHECK","FAIL"),IF(D33&lt;='Inputs'!$B$7,"NOT_USED_ILLIQUID","REVIEW")))</x:f>
        <x:v>NOT_USED_ILLIQUID</x:v>
      </x:c>
    </x:row>
    <x:row r="34">
      <x:c r="A34" t="str">
        <x:v>BASE</x:v>
      </x:c>
      <x:c r="B34" t="str">
        <x:v>M12</x:v>
      </x:c>
      <x:c r="C34" s="31" t="n">
        <x:v>0</x:v>
      </x:c>
      <x:c r="D34" s="26" t="n">
        <x:v>1</x:v>
      </x:c>
      <x:c r="E34" s="25" t="n">
        <x:v>112.07</x:v>
      </x:c>
      <x:c r="F34" s="25" t="n">
        <x:v>96.76385067</x:v>
      </x:c>
      <x:c r="G34" s="25" t="n">
        <x:f>F34-E34</x:f>
        <x:v>-15.306149329999997</x:v>
      </x:c>
      <x:c r="H34" t="str">
        <x:f>IF(C34=1,IF(ABS(G34)&lt;='Inputs'!$B$4,"OK_CALIBRATED","FAIL"),IF(D34&gt;'Inputs'!$B$6,IF(ABS(G34)&lt;='Inputs'!$B$5,"OK_CROSS_CHECK","FAIL"),IF(D34&lt;='Inputs'!$B$7,"NOT_USED_ILLIQUID","REVIEW")))</x:f>
        <x:v>NOT_USED_ILLIQUID</x:v>
      </x:c>
    </x:row>
    <x:row r="35">
      <x:c r="A35" t="str">
        <x:v>PEAK</x:v>
      </x:c>
      <x:c r="B35" t="str">
        <x:v>M12</x:v>
      </x:c>
      <x:c r="C35" s="31" t="n">
        <x:v>0</x:v>
      </x:c>
      <x:c r="D35" s="26" t="n">
        <x:v>1</x:v>
      </x:c>
      <x:c r="E35" s="25" t="n">
        <x:v>159.75</x:v>
      </x:c>
      <x:c r="F35" s="25" t="n">
        <x:v>129.72104708</x:v>
      </x:c>
      <x:c r="G35" s="25" t="n">
        <x:f>F35-E35</x:f>
        <x:v>-30.028952919999995</x:v>
      </x:c>
      <x:c r="H35" t="str">
        <x:f>IF(C35=1,IF(ABS(G35)&lt;='Inputs'!$B$4,"OK_CALIBRATED","FAIL"),IF(D35&gt;'Inputs'!$B$6,IF(ABS(G35)&lt;='Inputs'!$B$5,"OK_CROSS_CHECK","FAIL"),IF(D35&lt;='Inputs'!$B$7,"NOT_USED_ILLIQUID","REVIEW")))</x:f>
        <x:v>NOT_USED_ILLIQUID</x:v>
      </x:c>
    </x:row>
  </x:sheetData>
  <x:conditionalFormatting sqref="D2:D35">
    <x:cfRule type="cellIs" dxfId="2" priority="1" operator="greaterThan">
      <x:formula>100</x:formula>
    </x:cfRule>
    <x:cfRule type="cellIs" dxfId="3" priority="2" operator="lessThanOrEqual">
      <x:formula>10</x:formula>
    </x:cfRule>
  </x:conditionalFormatting>
  <x:conditionalFormatting sqref="H2:H35">
    <x:cfRule type="containsText" dxfId="4" priority="3" operator="containsText" text="OK"/>
    <x:cfRule type="containsText" dxfId="5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d18f062418f4d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30" hidden="0" customWidth="1"/>
  </x:cols>
  <x:sheetData>
    <x:row r="1" ht="31" customHeight="1">
      <x:c r="A1" s="22" t="str">
        <x:v>Month</x:v>
      </x:c>
      <x:c r="B1" s="22" t="str">
        <x:v>HPFC (EUR/MWh)</x:v>
      </x:c>
      <x:c r="C1" s="22" t="str">
        <x:v>Realized Day-Ahead (EUR/MWh)</x:v>
      </x:c>
    </x:row>
    <x:row r="2">
      <x:c r="A2" s="31" t="n">
        <x:v>1</x:v>
      </x:c>
      <x:c r="B2" s="32" t="n">
        <x:v>75.3200000873656</x:v>
      </x:c>
      <x:c r="C2" s="32" t="n">
        <x:v>76.57114247311829</x:v>
      </x:c>
    </x:row>
    <x:row r="3">
      <x:c r="A3" s="31" t="n">
        <x:v>2</x:v>
      </x:c>
      <x:c r="B3" s="32" t="n">
        <x:v>60.08999995833333</x:v>
      </x:c>
      <x:c r="C3" s="32" t="n">
        <x:v>61.335847701149426</x:v>
      </x:c>
    </x:row>
    <x:row r="4">
      <x:c r="A4" s="31" t="n">
        <x:v>3</x:v>
      </x:c>
      <x:c r="B4" s="32" t="n">
        <x:v>63.45000001076716</x:v>
      </x:c>
      <x:c r="C4" s="32" t="n">
        <x:v>64.70199192462988</x:v>
      </x:c>
    </x:row>
    <x:row r="5">
      <x:c r="A5" s="31" t="n">
        <x:v>4</x:v>
      </x:c>
      <x:c r="B5" s="32" t="n">
        <x:v>62.10751800277778</x:v>
      </x:c>
      <x:c r="C5" s="32" t="n">
        <x:v>62.360819444444445</x:v>
      </x:c>
    </x:row>
    <x:row r="6">
      <x:c r="A6" s="31" t="n">
        <x:v>5</x:v>
      </x:c>
      <x:c r="B6" s="32" t="n">
        <x:v>60.63373794623656</x:v>
      </x:c>
      <x:c r="C6" s="32" t="n">
        <x:v>67.21001344086021</x:v>
      </x:c>
    </x:row>
    <x:row r="7">
      <x:c r="A7" s="31" t="n">
        <x:v>6</x:v>
      </x:c>
      <x:c r="B7" s="32" t="n">
        <x:v>76.13528609722222</x:v>
      </x:c>
      <x:c r="C7" s="32" t="n">
        <x:v>72.88772222222222</x:v>
      </x:c>
    </x:row>
    <x:row r="8">
      <x:c r="A8" s="31" t="n">
        <x:v>7</x:v>
      </x:c>
      <x:c r="B8" s="32" t="n">
        <x:v>64.75916741935484</x:v>
      </x:c>
      <x:c r="C8" s="32" t="n">
        <x:v>67.69702956989246</x:v>
      </x:c>
    </x:row>
    <x:row r="9">
      <x:c r="A9" s="31" t="n">
        <x:v>8</x:v>
      </x:c>
      <x:c r="B9" s="32" t="n">
        <x:v>70.08240897043011</x:v>
      </x:c>
      <x:c r="C9" s="32" t="n">
        <x:v>82.04717741935484</x:v>
      </x:c>
    </x:row>
    <x:row r="10">
      <x:c r="A10" s="31" t="n">
        <x:v>9</x:v>
      </x:c>
      <x:c r="B10" s="32" t="n">
        <x:v>89.86637104583333</x:v>
      </x:c>
      <x:c r="C10" s="32" t="n">
        <x:v>78.30997222222223</x:v>
      </x:c>
    </x:row>
    <x:row r="11">
      <x:c r="A11" s="31" t="n">
        <x:v>10</x:v>
      </x:c>
      <x:c r="B11" s="32" t="n">
        <x:v>93.36178871275168</x:v>
      </x:c>
      <x:c r="C11" s="32" t="n">
        <x:v>86.09655033557047</x:v>
      </x:c>
    </x:row>
    <x:row r="12">
      <x:c r="A12" s="31" t="n">
        <x:v>11</x:v>
      </x:c>
      <x:c r="B12" s="32" t="n">
        <x:v>114.47732300416666</x:v>
      </x:c>
      <x:c r="C12" s="32" t="n">
        <x:v>113.90644444444445</x:v>
      </x:c>
    </x:row>
    <x:row r="13">
      <x:c r="A13" s="31" t="n">
        <x:v>12</x:v>
      </x:c>
      <x:c r="B13" s="32" t="n">
        <x:v>96.76385066935484</x:v>
      </x:c>
      <x:c r="C13" s="32" t="n">
        <x:v>108.31559139784946</x:v>
      </x:c>
    </x:row>
  </x:sheetData>
  <x:pageMargins left="0.7" right="0.7" top="0.75" bottom="0.75" header="0.3" footer="0.3"/>
  <x:tableParts count="1">
    <x:tablePart xmlns:r="http://schemas.openxmlformats.org/officeDocument/2006/relationships" r:id="R5e034c257e49448a"/>
  </x:tableParts>
</x:worksheet>
</file>