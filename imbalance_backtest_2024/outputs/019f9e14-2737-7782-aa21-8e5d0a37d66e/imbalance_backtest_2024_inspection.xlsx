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db065eace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7b3953caef4e5b"/>
    <x:sheet xmlns:r="http://schemas.openxmlformats.org/officeDocument/2006/relationships" name="Assumptions" sheetId="2" r:id="Rbe7d157e956f4e55"/>
    <x:sheet xmlns:r="http://schemas.openxmlformats.org/officeDocument/2006/relationships" name="Annual" sheetId="3" r:id="R23f9ea7c2d2a4653"/>
    <x:sheet xmlns:r="http://schemas.openxmlformats.org/officeDocument/2006/relationships" name="Monthly" sheetId="4" r:id="R2a9e5fe8271c41a2"/>
    <x:sheet xmlns:r="http://schemas.openxmlformats.org/officeDocument/2006/relationships" name="Profiles" sheetId="5" r:id="R28f0c73a46ce4119"/>
    <x:sheet xmlns:r="http://schemas.openxmlformats.org/officeDocument/2006/relationships" name="Seed Audit" sheetId="6" r:id="Rc6bcad8c29524dc9"/>
    <x:sheet xmlns:r="http://schemas.openxmlformats.org/officeDocument/2006/relationships" name="Checks" sheetId="7" r:id="R1628381758174950"/>
    <x:sheet xmlns:r="http://schemas.openxmlformats.org/officeDocument/2006/relationships" name="Sources" sheetId="8" r:id="R1636211f8e3849fb"/>
  </x:sheets>
</x:workbook>
</file>

<file path=xl/comments1.xml><?xml version="1.0" encoding="utf-8"?>
<x:comments xmlns:x="http://schemas.openxmlformats.org/spreadsheetml/2006/main">
  <x:authors>
    <x:author>tc={832DC75C-FA04-1B2E-266C-92CF7C0ED7DF}</x:author>
    <x:author>tc={B13F49FF-92EB-EFEF-E898-6A18A883F3A6}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Locked deterministic seed selected from the documented 1–500 candidate audit.</x:t>
        </x:r>
      </x:text>
    </x:comment>
    <x:comment ref="G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Profile annual energy bias. Random shocks are energy-weighted and centered.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200" formatCode="0.000000"/>
    <x:numFmt numFmtId="201" formatCode="0.00%"/>
    <x:numFmt numFmtId="202" formatCode="0.00"/>
    <x:numFmt numFmtId="203" formatCode="#,##0.00"/>
    <x:numFmt numFmtId="204" formatCode="€#,##0.00;[Red](€#,##0.00);-"/>
    <x:numFmt numFmtId="205" formatCode="€#,##0.00"/>
    <x:numFmt numFmtId="206" formatCode="0.0%"/>
    <x:numFmt numFmtId="207" formatCode="€#,##0.0000"/>
    <x:numFmt numFmtId="208" formatCode="€#,##0.000000"/>
    <x:numFmt numFmtId="209" formatCode="0.0000"/>
    <x:numFmt numFmtId="210" formatCode="#,##0"/>
    <x:numFmt numFmtId="211" formatCode="#,##0.000000"/>
    <x:numFmt numFmtId="212" formatCode="0"/>
    <x:numFmt numFmtId="213" formatCode="€0.0000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i/>
      <x:sz val="11"/>
      <x:color rgb="FF475569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b/>
      <x:sz val="11"/>
      <x:color rgb="FF17324D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0F766E"/>
      </x:patternFill>
    </x:fill>
    <x:fill>
      <x:patternFill patternType="solid">
        <x:fgColor rgb="FFE8F1F5"/>
      </x:patternFill>
    </x:fill>
  </x:fills>
  <x:borders count="20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/>
    <x:xf numFmtId="200" fontId="2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1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2" fillId="3" borderId="7" xfId="0" applyNumberFormat="1" applyFont="1" applyFill="1" applyBorder="1"/>
    <x:xf numFmtId="202" fontId="2" fillId="3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3" fillId="3" borderId="14" xfId="0" applyNumberFormat="1" applyFont="1" applyFill="1" applyBorder="1"/>
    <x:xf numFmtId="0" fontId="3" fillId="3" borderId="15" xfId="0" applyNumberFormat="1" applyFont="1" applyFill="1" applyBorder="1"/>
    <x:xf numFmtId="0" fontId="3" fillId="3" borderId="16" xfId="0" applyNumberFormat="1" applyFont="1" applyFill="1" applyBorder="1"/>
    <x:xf numFmtId="0" fontId="3" fillId="3" borderId="9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wrapText="1"/>
    </x:xf>
    <x:xf numFmtId="0" fontId="3" fillId="3" borderId="11" xfId="0" applyNumberFormat="1" applyFont="1" applyFill="1" applyBorder="1" applyAlignment="1">
      <x:alignment wrapText="1"/>
    </x:xf>
    <x:xf numFmtId="0" fontId="3" fillId="3" borderId="12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wrapText="1"/>
    </x:xf>
    <x:xf numFmtId="0" fontId="3" fillId="3" borderId="14" xfId="0" applyNumberFormat="1" applyFont="1" applyFill="1" applyBorder="1" applyAlignment="1">
      <x:alignment wrapText="1"/>
    </x:xf>
    <x:xf numFmtId="0" fontId="3" fillId="3" borderId="15" xfId="0" applyNumberFormat="1" applyFont="1" applyFill="1" applyBorder="1" applyAlignment="1">
      <x:alignment wrapText="1"/>
    </x:xf>
    <x:xf numFmtId="0" fontId="3" fillId="3" borderId="16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vertical="center" wrapText="1"/>
    </x:xf>
    <x:xf numFmtId="0" fontId="3" fillId="3" borderId="12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3" xfId="0" applyNumberFormat="1" applyFont="1" applyFill="1" applyBorder="1" applyAlignment="1">
      <x:alignment vertical="center" wrapText="1"/>
    </x:xf>
    <x:xf numFmtId="0" fontId="3" fillId="3" borderId="14" xfId="0" applyNumberFormat="1" applyFont="1" applyFill="1" applyBorder="1" applyAlignment="1">
      <x:alignment vertical="center" wrapText="1"/>
    </x:xf>
    <x:xf numFmtId="0" fontId="3" fillId="3" borderId="15" xfId="0" applyNumberFormat="1" applyFont="1" applyFill="1" applyBorder="1" applyAlignment="1">
      <x:alignment vertical="center" wrapText="1"/>
    </x:xf>
    <x:xf numFmtId="0" fontId="3" fillId="3" borderId="16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1" fontId="0" fillId="0" borderId="0" xfId="0" applyNumberFormat="1" applyFont="1" applyFill="1" applyBorder="1"/>
    <x:xf numFmtId="209" fontId="0" fillId="0" borderId="0" xfId="0" applyNumberFormat="1" applyFont="1" applyFill="1" applyBorder="1"/>
    <x:xf numFmtId="210" fontId="0" fillId="0" borderId="0" xfId="0" applyNumberFormat="1" applyFont="1" applyFill="1" applyBorder="1"/>
    <x:xf numFmtId="211" fontId="0" fillId="0" borderId="0" xfId="0" applyNumberFormat="1" applyFont="1" applyFill="1" applyBorder="1"/>
    <x:xf numFmtId="212" fontId="0" fillId="0" borderId="0" xfId="0" applyNumberFormat="1" applyFont="1" applyFill="1" applyBorder="1"/>
    <x:xf numFmtId="213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7" fillId="0" borderId="0" xfId="0" applyNumberFormat="1" applyFont="1" applyFill="1" applyBorder="1"/>
    <x:xf numFmtId="0" fontId="7" fillId="0" borderId="17" xfId="0" applyNumberFormat="1" applyFont="1" applyFill="1" applyBorder="1"/>
    <x:xf numFmtId="0" fontId="7" fillId="0" borderId="18" xfId="0" applyNumberFormat="1" applyFont="1" applyFill="1" applyBorder="1"/>
    <x:xf numFmtId="0" fontId="7" fillId="0" borderId="19" xfId="0" applyNumberFormat="1" applyFont="1" applyFill="1" applyBorder="1"/>
    <x:xf numFmtId="210" fontId="7" fillId="0" borderId="18" xfId="0" applyNumberFormat="1" applyFont="1" applyFill="1" applyBorder="1"/>
    <x:xf numFmtId="201" fontId="7" fillId="0" borderId="18" xfId="0" applyNumberFormat="1" applyFont="1" applyFill="1" applyBorder="1"/>
    <x:xf numFmtId="205" fontId="7" fillId="0" borderId="18" xfId="0" applyNumberFormat="1" applyFont="1" applyFill="1" applyBorder="1"/>
    <x:xf numFmtId="205" fontId="7" fillId="0" borderId="19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8" fillId="0" borderId="4" xfId="0" applyNumberFormat="1" applyFont="1" applyFill="1" applyBorder="1"/>
    <x:xf numFmtId="0" fontId="8" fillId="0" borderId="0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205" fontId="8" fillId="0" borderId="0" xfId="0" applyNumberFormat="1" applyFont="1" applyFill="1" applyBorder="1"/>
    <x:xf numFmtId="205" fontId="8" fillId="0" borderId="7" xfId="0" applyNumberFormat="1" applyFont="1" applyFill="1" applyBorder="1"/>
    <x:xf numFmtId="206" fontId="8" fillId="0" borderId="5" xfId="0" applyNumberFormat="1" applyFont="1" applyFill="1" applyBorder="1"/>
    <x:xf numFmtId="206" fontId="8" fillId="0" borderId="8" xfId="0" applyNumberFormat="1" applyFont="1" applyFill="1" applyBorder="1"/>
    <x:xf numFmtId="205" fontId="8" fillId="0" borderId="5" xfId="0" applyNumberFormat="1" applyFont="1" applyFill="1" applyBorder="1"/>
    <x:xf numFmtId="205" fontId="8" fillId="0" borderId="8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e0a0e8ccf54ba4" /><Relationship Type="http://schemas.openxmlformats.org/officeDocument/2006/relationships/theme" Target="/xl/theme/theme1.xml" Id="R306b835bf00d47a4" /><Relationship Type="http://schemas.openxmlformats.org/officeDocument/2006/relationships/sharedStrings" Target="/xl/sharedStrings.xml" Id="R43ecf74280c14f0a" /><Relationship Type="http://schemas.openxmlformats.org/officeDocument/2006/relationships/worksheet" Target="/xl/worksheets/sheet1.xml" Id="Rbb7b3953caef4e5b" /><Relationship Type="http://schemas.openxmlformats.org/officeDocument/2006/relationships/worksheet" Target="/xl/worksheets/sheet2.xml" Id="Rbe7d157e956f4e55" /><Relationship Type="http://schemas.openxmlformats.org/officeDocument/2006/relationships/worksheet" Target="/xl/worksheets/sheet3.xml" Id="R23f9ea7c2d2a4653" /><Relationship Type="http://schemas.openxmlformats.org/officeDocument/2006/relationships/worksheet" Target="/xl/worksheets/sheet4.xml" Id="R2a9e5fe8271c41a2" /><Relationship Type="http://schemas.openxmlformats.org/officeDocument/2006/relationships/worksheet" Target="/xl/worksheets/sheet5.xml" Id="R28f0c73a46ce4119" /><Relationship Type="http://schemas.openxmlformats.org/officeDocument/2006/relationships/worksheet" Target="/xl/worksheets/sheet6.xml" Id="Rc6bcad8c29524dc9" /><Relationship Type="http://schemas.openxmlformats.org/officeDocument/2006/relationships/worksheet" Target="/xl/worksheets/sheet7.xml" Id="R1628381758174950" /><Relationship Type="http://schemas.openxmlformats.org/officeDocument/2006/relationships/worksheet" Target="/xl/worksheets/sheet8.xml" Id="R1636211f8e3849fb" /><Relationship Type="http://schemas.microsoft.com/office/2017/10/relationships/person" Target="/xl/persons/person.xml" Id="Rf2ef6135aa4446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1b2792c8ec4983" /><Relationship Type="http://schemas.openxmlformats.org/officeDocument/2006/relationships/chart" Target="/xl/drawings/charts/chart2.xml" Id="R19c43841e8584c1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Final EUR/MWh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'Summary'!$A$15:$A$17</c:f>
              <c:strCache>
                <c:ptCount val="0"/>
              </c:strCache>
            </c:strRef>
          </c:cat>
          <c:val>
            <c:numRef>
              <c:f>'Summary'!$B$15:$B$17</c:f>
              <c:numCache>
                <c:formatCode>€#,##0.00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final procurement price (EUR/MWh actual)</a:t>
            </a:r>
          </a:p>
        </c:rich>
      </c:tx>
    </c:title>
    <c:plotArea>
      <c:lineChart>
        <c:grouping val="standard"/>
        <c:ser>
          <c:idx val="0"/>
          <c:order val="0"/>
          <c:tx>
            <c:v>UNHEDGED</c:v>
          </c:tx>
          <c:marker>
            <c:symbol val="none"/>
          </c:marker>
          <c:cat>
            <c:strRef>
              <c:f>'Summary'!$A$27:$A$38</c:f>
              <c:strCache>
                <c:ptCount val="0"/>
              </c:strCache>
            </c:strRef>
          </c:cat>
          <c:val>
            <c:numRef>
              <c:f>'Summary'!$B$27:$B$38</c:f>
              <c:numCache>
                <c:formatCode>€#,##0.00</c:formatCode>
                <c:ptCount val="0"/>
              </c:numCache>
            </c:numRef>
          </c:val>
        </c:ser>
        <c:ser>
          <c:idx val="1"/>
          <c:order val="1"/>
          <c:tx>
            <c:v>COARSE_CAL</c:v>
          </c:tx>
          <c:marker>
            <c:symbol val="none"/>
          </c:marker>
          <c:cat>
            <c:strRef>
              <c:f>'Summary'!$A$27:$A$38</c:f>
              <c:strCache>
                <c:ptCount val="0"/>
              </c:strCache>
            </c:strRef>
          </c:cat>
          <c:val>
            <c:numRef>
              <c:f>'Summary'!$C$27:$C$38</c:f>
              <c:numCache>
                <c:formatCode>€#,##0.00</c:formatCode>
                <c:ptCount val="0"/>
              </c:numCache>
            </c:numRef>
          </c:val>
        </c:ser>
        <c:ser>
          <c:idx val="2"/>
          <c:order val="2"/>
          <c:tx>
            <c:v>GRANULAR</c:v>
          </c:tx>
          <c:marker>
            <c:symbol val="none"/>
          </c:marker>
          <c:cat>
            <c:strRef>
              <c:f>'Summary'!$A$27:$A$38</c:f>
              <c:strCache>
                <c:ptCount val="0"/>
              </c:strCache>
            </c:strRef>
          </c:cat>
          <c:val>
            <c:numRef>
              <c:f>'Summary'!$D$27:$D$38</c:f>
              <c:numCache>
                <c:formatCode>€#,##0.00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1b2792c8ec4983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c43841e8584c1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709FDDB8-6F50-4440-A6A9-873920C457C0}"/>
</xltc:personList>
</file>

<file path=xl/tables/table1.xml><?xml version="1.0" encoding="utf-8"?>
<x:table xmlns:x="http://schemas.openxmlformats.org/spreadsheetml/2006/main" id="1" name="SimulationParameters" displayName="SimulationParameters" ref="A1:D10" headerRowCount="1" totalsRowCount="0" totalsRowShown="0">
  <x:tableColumns count="4">
    <x:tableColumn id="1" name="Parameter"/>
    <x:tableColumn id="2" name="Value"/>
    <x:tableColumn id="3" name="Unit"/>
    <x:tableColumn id="4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ualSource" displayName="AnnualSource" ref="A1:K4" headerRowCount="1" totalsRowCount="0" totalsRowShown="0">
  <x:tableColumns count="11">
    <x:tableColumn id="1" name="Strategy"/>
    <x:tableColumn id="2" name="Forecast MWh"/>
    <x:tableColumn id="3" name="Actual MWh"/>
    <x:tableColumn id="4" name="Fixed futures cost"/>
    <x:tableColumn id="5" name="Day-Ahead scheduled cost"/>
    <x:tableColumn id="6" name="reBAP settlement"/>
    <x:tableColumn id="7" name="Imbalance premium"/>
    <x:tableColumn id="8" name="Final cost source"/>
    <x:tableColumn id="9" name="Absolute open DA MWh"/>
    <x:tableColumn id="10" name="Forecast shaping coverage"/>
    <x:tableColumn id="11" name="Monthly price st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thlySource" displayName="MonthlySource" ref="A1:I37" headerRowCount="1" totalsRowCount="0" totalsRowShown="0">
  <x:tableColumns count="9">
    <x:tableColumn id="1" name="Month"/>
    <x:tableColumn id="2" name="Strategy"/>
    <x:tableColumn id="3" name="Actual MWh"/>
    <x:tableColumn id="4" name="Fixed futures cost"/>
    <x:tableColumn id="5" name="Day-Ahead scheduled cost"/>
    <x:tableColumn id="6" name="reBAP settlement"/>
    <x:tableColumn id="7" name="Final cost source"/>
    <x:tableColumn id="8" name="Imbalance premium"/>
    <x:tableColumn id="9" name="Saving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fileActuals" displayName="ProfileActuals" ref="A1:H4" headerRowCount="1" totalsRowCount="0" totalsRowShown="0">
  <x:tableColumns count="8">
    <x:tableColumn id="1" name="Profile"/>
    <x:tableColumn id="2" name="Forecast MWh"/>
    <x:tableColumn id="3" name="Actual MWh source"/>
    <x:tableColumn id="4" name="Annual bias assumption"/>
    <x:tableColumn id="5" name="Profile NMAE"/>
    <x:tableColumn id="6" name="Minimum factor"/>
    <x:tableColumn id="7" name="Maximum factor"/>
    <x:tableColumn id="8" name="Clipped Q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edCandidates" displayName="SeedCandidates" ref="A1:K21" headerRowCount="1" totalsRowCount="0" totalsRowShown="0">
  <x:tableColumns count="11">
    <x:tableColumn id="1" name="Seed"/>
    <x:tableColumn id="2" name="Selection score"/>
    <x:tableColumn id="3" name="Portfolio NMAE"/>
    <x:tableColumn id="4" name="Premium EUR/MWh"/>
    <x:tableColumn id="5" name="Settlement EUR/MWh"/>
    <x:tableColumn id="6" name="Unhedged monthly std"/>
    <x:tableColumn id="7" name="CAL monthly std"/>
    <x:tableColumn id="8" name="Granular monthly std"/>
    <x:tableColumn id="9" name="Minimum factor"/>
    <x:tableColumn id="10" name="Maximum factor"/>
    <x:tableColumn id="11" name="Clipped Q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mbalanceChecks" displayName="ImbalanceChecks" ref="A1:G21" headerRowCount="1" totalsRowCount="0" totalsRowShown="0">
  <x:tableColumns count="7">
    <x:tableColumn id="1" name="Check"/>
    <x:tableColumn id="2" name="Actual"/>
    <x:tableColumn id="3" name="Expected"/>
    <x:tableColumn id="4" name="Difference"/>
    <x:tableColumn id="5" name="Tolerance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cktestSources" displayName="BacktestSources" ref="A1:E5" headerRowCount="1" totalsRowCount="0" totalsRowShown="0">
  <x:tableColumns count="5">
    <x:tableColumn id="1" name="Item"/>
    <x:tableColumn id="2" name="Source type"/>
    <x:tableColumn id="3" name="Source name"/>
    <x:tableColumn id="4" name="Reference / URL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" dT="2026-07-26T14:14:35.757" personId="{709FDDB8-6F50-4440-A6A9-873920C457C0}" id="{832DC75C-FA04-1B2E-266C-92CF7C0ED7DF}">
    <xltc:text>Locked deterministic seed selected from the documented 1–500 candidate audit.</xltc:text>
  </xltc:threadedComment>
  <xltc:threadedComment ref="G2" dT="2026-07-26T14:14:35.757" personId="{709FDDB8-6F50-4440-A6A9-873920C457C0}" id="{B13F49FF-92EB-EFEF-E898-6A18A883F3A6}">
    <xltc:text>Profile annual energy bias. Random shocks are energy-weighted and centered.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2d0224a5fc4c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73e977e72995439d" /><Relationship Type="http://schemas.openxmlformats.org/officeDocument/2006/relationships/vmlDrawing" Target="/xl/drawings/vmldrawing.vml" Id="R8c38bd162f074583" /><Relationship Type="http://schemas.microsoft.com/office/2017/10/relationships/threadedComment" Target="/xl/threadedcomments/threadedcomment.xml" Id="R9377ac2920fc4bb5" /><Relationship Type="http://schemas.openxmlformats.org/officeDocument/2006/relationships/table" Target="/xl/tables/table1.xml" Id="R14ecef21d3114a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ec4ae9566645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2d91a096c242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ee0aa0c50044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2b2f1224f742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24256ac0434a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c525c5ee044f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68" t="str">
        <x:v>HTW Summer School — final procurement-cost and imbalance backtest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</x:row>
    <x:row r="3">
      <x:c r="A3" s="69" t="str">
        <x:v>Validation snapshot</x:v>
      </x:c>
      <x:c r="B3" s="69"/>
      <x:c r="D3" s="69" t="str">
        <x:v>Model boundary</x:v>
      </x:c>
      <x:c r="E3" s="69"/>
      <x:c r="F3" s="69"/>
    </x:row>
    <x:row r="4">
      <x:c r="A4" s="72" t="str">
        <x:v>Model status</x:v>
      </x:c>
      <x:c r="B4" s="76" t="str">
        <x:f>IF(COUNTIF('Checks'!$F$2:$F$21,"FAIL")=0,"OK","FAIL")</x:f>
        <x:v>OK</x:v>
      </x:c>
      <x:c r="D4" s="13" t="str">
        <x:v>Layer</x:v>
      </x:c>
      <x:c r="E4" s="14" t="str">
        <x:v>Source</x:v>
      </x:c>
      <x:c r="F4" s="15" t="str">
        <x:v>Treatment</x:v>
      </x:c>
    </x:row>
    <x:row r="5">
      <x:c r="A5" s="73" t="str">
        <x:v>Passed checks</x:v>
      </x:c>
      <x:c r="B5" s="79" t="n">
        <x:f>COUNTIF('Checks'!$F$2:$F$21,"OK")</x:f>
        <x:v>20</x:v>
      </x:c>
      <x:c r="D5" s="88" t="str">
        <x:v>Forecast + hedge</x:v>
      </x:c>
      <x:c r="E5" s="6" t="str">
        <x:v>Model</x:v>
      </x:c>
      <x:c r="F5" s="22" t="str">
        <x:v>Existing value-neutral hedge outputs</x:v>
      </x:c>
    </x:row>
    <x:row r="6">
      <x:c r="A6" s="73" t="str">
        <x:v>Locked seed</x:v>
      </x:c>
      <x:c r="B6" s="79" t="n">
        <x:f>'Assumptions'!$B$2</x:f>
        <x:v>173</x:v>
      </x:c>
      <x:c r="D6" s="88" t="str">
        <x:v>Day-Ahead prices</x:v>
      </x:c>
      <x:c r="E6" s="6" t="str">
        <x:v>Observed</x:v>
      </x:c>
      <x:c r="F6" s="22" t="str">
        <x:v>Forecast schedule and hedge payoff</x:v>
      </x:c>
    </x:row>
    <x:row r="7">
      <x:c r="A7" s="73" t="str">
        <x:v>Actual energy MWh</x:v>
      </x:c>
      <x:c r="B7" s="79" t="n">
        <x:f>'Annual'!$C$2</x:f>
        <x:v>43138</x:v>
      </x:c>
      <x:c r="D7" s="88" t="str">
        <x:v>Actual load</x:v>
      </x:c>
      <x:c r="E7" s="6" t="str">
        <x:v>Synthetic</x:v>
      </x:c>
      <x:c r="F7" s="22" t="str">
        <x:v>Seeded HB / GB / LB deviations</x:v>
      </x:c>
    </x:row>
    <x:row r="8">
      <x:c r="A8" s="73" t="str">
        <x:v>Portfolio NMAE</x:v>
      </x:c>
      <x:c r="B8" s="80" t="n">
        <x:f>'Checks'!$B$8</x:f>
        <x:v>0.019673638020697673</x:v>
      </x:c>
      <x:c r="D8" s="88" t="str">
        <x:v>reBAP</x:v>
      </x:c>
      <x:c r="E8" s="6" t="str">
        <x:v>Observed</x:v>
      </x:c>
      <x:c r="F8" s="22" t="str">
        <x:v>Actual-minus-forecast settlement</x:v>
      </x:c>
    </x:row>
    <x:row r="9">
      <x:c r="A9" s="73" t="str">
        <x:v>Imbalance premium</x:v>
      </x:c>
      <x:c r="B9" s="81" t="n">
        <x:f>'Annual'!$G$2</x:f>
        <x:v>13589.24391983</x:v>
      </x:c>
      <x:c r="D9" s="89" t="str">
        <x:v>Hedge purpose</x:v>
      </x:c>
      <x:c r="E9" s="90" t="str">
        <x:v>Risk management</x:v>
      </x:c>
      <x:c r="F9" s="23" t="str">
        <x:v>Cost certainty, not speculative profit</x:v>
      </x:c>
    </x:row>
    <x:row r="10">
      <x:c r="A10" s="73" t="str">
        <x:v>CAL final EUR/MWh</x:v>
      </x:c>
      <x:c r="B10" s="81" t="n">
        <x:f>'Annual'!$M$3</x:f>
        <x:v>80.70542174552969</x:v>
      </x:c>
    </x:row>
    <x:row r="11">
      <x:c r="A11" s="74" t="str">
        <x:v>Granular final EUR/MWh</x:v>
      </x:c>
      <x:c r="B11" s="82" t="n">
        <x:f>'Annual'!$M$4</x:f>
        <x:v>80.71795595194747</x:v>
      </x:c>
    </x:row>
    <x:row r="13">
      <x:c r="A13" s="69" t="str">
        <x:v>Annual final comparison</x:v>
      </x:c>
      <x:c r="B13" s="69"/>
      <x:c r="C13" s="69"/>
      <x:c r="D13" s="69"/>
      <x:c r="E13" s="69"/>
    </x:row>
    <x:row r="14">
      <x:c r="A14" s="83" t="str">
        <x:v>Strategy</x:v>
      </x:c>
      <x:c r="B14" s="84" t="str">
        <x:v>Final EUR/MWh</x:v>
      </x:c>
      <x:c r="C14" s="84" t="str">
        <x:v>Saving EUR</x:v>
      </x:c>
      <x:c r="D14" s="84" t="str">
        <x:v>Monthly std</x:v>
      </x:c>
      <x:c r="E14" s="85" t="str">
        <x:v>Shaping coverage</x:v>
      </x:c>
    </x:row>
    <x:row r="15">
      <x:c r="A15" s="91" t="str">
        <x:f>'Annual'!A2</x:f>
        <x:v>UNHEDGED</x:v>
      </x:c>
      <x:c r="B15" s="97" t="n">
        <x:f>'Annual'!M2</x:f>
        <x:v>81.99749248417196</x:v>
      </x:c>
      <x:c r="C15" s="97" t="n">
        <x:f>'Annual'!N2</x:f>
        <x:v>0</x:v>
      </x:c>
      <x:c r="D15" s="97" t="n">
        <x:f>'Annual'!K2</x:f>
        <x:v>20.15327243</x:v>
      </x:c>
      <x:c r="E15" s="99" t="n">
        <x:f>'Annual'!J2</x:f>
        <x:v>0</x:v>
      </x:c>
    </x:row>
    <x:row r="16">
      <x:c r="A16" s="91" t="str">
        <x:f>'Annual'!A3</x:f>
        <x:v>COARSE_CAL</x:v>
      </x:c>
      <x:c r="B16" s="97" t="n">
        <x:f>'Annual'!M3</x:f>
        <x:v>80.70542174552969</x:v>
      </x:c>
      <x:c r="C16" s="97" t="n">
        <x:f>'Annual'!N3</x:f>
        <x:v>55737.34752355004</x:v>
      </x:c>
      <x:c r="D16" s="97" t="n">
        <x:f>'Annual'!K3</x:f>
        <x:v>2.43238212</x:v>
      </x:c>
      <x:c r="E16" s="99" t="n">
        <x:f>'Annual'!J3</x:f>
        <x:v>0.70325281</x:v>
      </x:c>
    </x:row>
    <x:row r="17">
      <x:c r="A17" s="94" t="str">
        <x:f>'Annual'!A4</x:f>
        <x:v>GRANULAR</x:v>
      </x:c>
      <x:c r="B17" s="98" t="n">
        <x:f>'Annual'!M4</x:f>
        <x:v>80.71795595194747</x:v>
      </x:c>
      <x:c r="C17" s="98" t="n">
        <x:f>'Annual'!N4</x:f>
        <x:v>55196.64692710014</x:v>
      </x:c>
      <x:c r="D17" s="98" t="n">
        <x:f>'Annual'!K4</x:f>
        <x:v>18.56308745</x:v>
      </x:c>
      <x:c r="E17" s="100" t="n">
        <x:f>'Annual'!J4</x:f>
        <x:v>0.72127565</x:v>
      </x:c>
    </x:row>
    <x:row r="25">
      <x:c r="A25" s="69" t="str">
        <x:v>Monthly procurement price (EUR/MWh actual)</x:v>
      </x:c>
      <x:c r="B25" s="69"/>
      <x:c r="C25" s="69"/>
      <x:c r="D25" s="69"/>
    </x:row>
    <x:row r="26">
      <x:c r="A26" s="83" t="str">
        <x:v>Month</x:v>
      </x:c>
      <x:c r="B26" s="84" t="str">
        <x:v>UNHEDGED</x:v>
      </x:c>
      <x:c r="C26" s="84" t="str">
        <x:v>COARSE_CAL</x:v>
      </x:c>
      <x:c r="D26" s="85" t="str">
        <x:v>GRANULAR</x:v>
      </x:c>
    </x:row>
    <x:row r="27">
      <x:c r="A27" s="91" t="str">
        <x:f>'Monthly'!A2</x:f>
        <x:v>2024-01</x:v>
      </x:c>
      <x:c r="B27" s="97" t="n">
        <x:f>'Monthly'!K2</x:f>
        <x:v>81.39331346690936</x:v>
      </x:c>
      <x:c r="C27" s="97" t="n">
        <x:f>'Monthly'!K3</x:f>
        <x:v>81.51496102002861</x:v>
      </x:c>
      <x:c r="D27" s="101" t="n">
        <x:f>'Monthly'!K4</x:f>
        <x:v>80.11005759105116</x:v>
      </x:c>
    </x:row>
    <x:row r="28">
      <x:c r="A28" s="91" t="str">
        <x:f>'Monthly'!A5</x:f>
        <x:v>2024-02</x:v>
      </x:c>
      <x:c r="B28" s="97" t="n">
        <x:f>'Monthly'!K5</x:f>
        <x:v>64.88166918049488</x:v>
      </x:c>
      <x:c r="C28" s="97" t="n">
        <x:f>'Monthly'!K6</x:f>
        <x:v>79.03873692568284</x:v>
      </x:c>
      <x:c r="D28" s="101" t="n">
        <x:f>'Monthly'!K7</x:f>
        <x:v>63.61722138605609</x:v>
      </x:c>
    </x:row>
    <x:row r="29">
      <x:c r="A29" s="91" t="str">
        <x:f>'Monthly'!A8</x:f>
        <x:v>2024-03</x:v>
      </x:c>
      <x:c r="B29" s="97" t="n">
        <x:f>'Monthly'!K8</x:f>
        <x:v>66.6038484677895</x:v>
      </x:c>
      <x:c r="C29" s="97" t="n">
        <x:f>'Monthly'!K9</x:f>
        <x:v>78.43591857188498</x:v>
      </x:c>
      <x:c r="D29" s="101" t="n">
        <x:f>'Monthly'!K10</x:f>
        <x:v>65.35742254565262</x:v>
      </x:c>
    </x:row>
    <x:row r="30">
      <x:c r="A30" s="91" t="str">
        <x:f>'Monthly'!A11</x:f>
        <x:v>2024-04</x:v>
      </x:c>
      <x:c r="B30" s="97" t="n">
        <x:f>'Monthly'!K11</x:f>
        <x:v>63.2871532939646</x:v>
      </x:c>
      <x:c r="C30" s="97" t="n">
        <x:f>'Monthly'!K12</x:f>
        <x:v>79.28679458786503</x:v>
      </x:c>
      <x:c r="D30" s="101" t="n">
        <x:f>'Monthly'!K13</x:f>
        <x:v>66.15175176017578</x:v>
      </x:c>
    </x:row>
    <x:row r="31">
      <x:c r="A31" s="91" t="str">
        <x:f>'Monthly'!A14</x:f>
        <x:v>2024-05</x:v>
      </x:c>
      <x:c r="B31" s="97" t="n">
        <x:f>'Monthly'!K14</x:f>
        <x:v>66.42397191316093</x:v>
      </x:c>
      <x:c r="C31" s="97" t="n">
        <x:f>'Monthly'!K15</x:f>
        <x:v>80.55464667342436</x:v>
      </x:c>
      <x:c r="D31" s="101" t="n">
        <x:f>'Monthly'!K16</x:f>
        <x:v>66.29387281517971</x:v>
      </x:c>
    </x:row>
    <x:row r="32">
      <x:c r="A32" s="91" t="str">
        <x:f>'Monthly'!A17</x:f>
        <x:v>2024-06</x:v>
      </x:c>
      <x:c r="B32" s="97" t="n">
        <x:f>'Monthly'!K17</x:f>
        <x:v>74.4906037956855</x:v>
      </x:c>
      <x:c r="C32" s="97" t="n">
        <x:f>'Monthly'!K18</x:f>
        <x:v>80.97236950975262</x:v>
      </x:c>
      <x:c r="D32" s="101" t="n">
        <x:f>'Monthly'!K19</x:f>
        <x:v>67.30436296972674</x:v>
      </x:c>
    </x:row>
    <x:row r="33">
      <x:c r="A33" s="91" t="str">
        <x:f>'Monthly'!A20</x:f>
        <x:v>2024-07</x:v>
      </x:c>
      <x:c r="B33" s="97" t="n">
        <x:f>'Monthly'!K20</x:f>
        <x:v>66.93569939041815</x:v>
      </x:c>
      <x:c r="C33" s="97" t="n">
        <x:f>'Monthly'!K21</x:f>
        <x:v>81.74141511040675</x:v>
      </x:c>
      <x:c r="D33" s="101" t="n">
        <x:f>'Monthly'!K22</x:f>
        <x:v>74.88397324876546</x:v>
      </x:c>
    </x:row>
    <x:row r="34">
      <x:c r="A34" s="91" t="str">
        <x:f>'Monthly'!A23</x:f>
        <x:v>2024-08</x:v>
      </x:c>
      <x:c r="B34" s="97" t="n">
        <x:f>'Monthly'!K23</x:f>
        <x:v>79.91564658793565</x:v>
      </x:c>
      <x:c r="C34" s="97" t="n">
        <x:f>'Monthly'!K24</x:f>
        <x:v>77.40667319583736</x:v>
      </x:c>
      <x:c r="D34" s="101" t="n">
        <x:f>'Monthly'!K25</x:f>
        <x:v>72.94685478666133</x:v>
      </x:c>
    </x:row>
    <x:row r="35">
      <x:c r="A35" s="91" t="str">
        <x:f>'Monthly'!A26</x:f>
        <x:v>2024-09</x:v>
      </x:c>
      <x:c r="B35" s="97" t="n">
        <x:f>'Monthly'!K26</x:f>
        <x:v>78.91120328496903</x:v>
      </x:c>
      <x:c r="C35" s="97" t="n">
        <x:f>'Monthly'!K27</x:f>
        <x:v>78.49125192893658</x:v>
      </x:c>
      <x:c r="D35" s="101" t="n">
        <x:f>'Monthly'!K28</x:f>
        <x:v>74.23936408811333</x:v>
      </x:c>
    </x:row>
    <x:row r="36">
      <x:c r="A36" s="91" t="str">
        <x:f>'Monthly'!A29</x:f>
        <x:v>2024-10</x:v>
      </x:c>
      <x:c r="B36" s="97" t="n">
        <x:f>'Monthly'!K29</x:f>
        <x:v>90.99128490771918</x:v>
      </x:c>
      <x:c r="C36" s="97" t="n">
        <x:f>'Monthly'!K30</x:f>
        <x:v>80.56056414143906</x:v>
      </x:c>
      <x:c r="D36" s="101" t="n">
        <x:f>'Monthly'!K31</x:f>
        <x:v>110.15641533847091</x:v>
      </x:c>
    </x:row>
    <x:row r="37">
      <x:c r="A37" s="91" t="str">
        <x:f>'Monthly'!A32</x:f>
        <x:v>2024-11</x:v>
      </x:c>
      <x:c r="B37" s="97" t="n">
        <x:f>'Monthly'!K32</x:f>
        <x:v>121.71552015233051</x:v>
      </x:c>
      <x:c r="C37" s="97" t="n">
        <x:f>'Monthly'!K33</x:f>
        <x:v>82.76691493992655</x:v>
      </x:c>
      <x:c r="D37" s="101" t="n">
        <x:f>'Monthly'!K34</x:f>
        <x:v>108.38609590473347</x:v>
      </x:c>
    </x:row>
    <x:row r="38">
      <x:c r="A38" s="94" t="str">
        <x:f>'Monthly'!A35</x:f>
        <x:v>2024-12</x:v>
      </x:c>
      <x:c r="B38" s="98" t="n">
        <x:f>'Monthly'!K35</x:f>
        <x:v>119.36274516970208</x:v>
      </x:c>
      <x:c r="C38" s="98" t="n">
        <x:f>'Monthly'!K36</x:f>
        <x:v>86.48339382347089</x:v>
      </x:c>
      <x:c r="D38" s="102" t="n">
        <x:f>'Monthly'!K37</x:f>
        <x:v>110.70119129837342</x:v>
      </x:c>
    </x:row>
    <x:row r="42">
      <x:c r="A42" s="42" t="str">
        <x:v>Interpretation: both hedges reduce realized annual procurement cost and monthly price variability versus unhedged procurement. CAL is the more stable coarse hedge; the granular hedge covers more of the forecast shape. The identical imbalance charge across strategies makes clear that hedging price risk does not eliminate customer-load forecast risk.</x:v>
      </x:c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4"/>
    </x:row>
    <x:row r="43">
      <x:c r="A43" s="45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7"/>
    </x:row>
    <x:row r="44">
      <x:c r="A44" s="45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7"/>
    </x:row>
    <x:row r="45">
      <x:c r="A45" s="45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7"/>
    </x:row>
    <x:row r="46">
      <x:c r="A46" s="48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50"/>
    </x:row>
  </x:sheetData>
  <x:mergeCells>
    <x:mergeCell ref="A1:L1"/>
    <x:mergeCell ref="A3:B3"/>
    <x:mergeCell ref="D3:F3"/>
    <x:mergeCell ref="A13:E13"/>
    <x:mergeCell ref="A25:D25"/>
    <x:mergeCell ref="A42:L46"/>
  </x:mergeCells>
  <x:pageMargins left="0.7" right="0.7" top="0.75" bottom="0.75" header="0.3" footer="0.3"/>
  <x:drawing xmlns:r="http://schemas.openxmlformats.org/officeDocument/2006/relationships" r:id="R902d0224a5fc4c9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72" hidden="0" customWidth="1"/>
    <x:col min="6" max="6" width="12" hidden="0" customWidth="1"/>
    <x:col min="7" max="7" width="18" hidden="0" customWidth="1"/>
    <x:col min="8" max="8" width="18" hidden="0" customWidth="1"/>
    <x:col min="9" max="9" width="18" hidden="0" customWidth="1"/>
    <x:col min="10" max="10" width="64" hidden="0" customWidth="1"/>
  </x:cols>
  <x:sheetData>
    <x:row r="1" ht="32" customHeight="1">
      <x:c r="A1" s="4" t="str">
        <x:v>Parameter</x:v>
      </x:c>
      <x:c r="B1" s="4" t="str">
        <x:v>Value</x:v>
      </x:c>
      <x:c r="C1" s="4" t="str">
        <x:v>Unit</x:v>
      </x:c>
      <x:c r="D1" s="4" t="str">
        <x:v>Description</x:v>
      </x:c>
      <x:c r="F1" s="13" t="str">
        <x:v>Profile</x:v>
      </x:c>
      <x:c r="G1" s="14" t="str">
        <x:v>Annual bias</x:v>
      </x:c>
      <x:c r="H1" s="14" t="str">
        <x:v>Idiosyncratic sigma</x:v>
      </x:c>
      <x:c r="I1" s="14" t="str">
        <x:v>AR persistence</x:v>
      </x:c>
      <x:c r="J1" s="15" t="str">
        <x:v>Description</x:v>
      </x:c>
    </x:row>
    <x:row r="2">
      <x:c r="A2" t="str">
        <x:v>locked_seed</x:v>
      </x:c>
      <x:c r="B2" s="8" t="n">
        <x:v>173</x:v>
      </x:c>
      <x:c r="C2" t="str">
        <x:v>integer</x:v>
      </x:c>
      <x:c r="D2" s="6" t="str">
        <x:v>Reproducible seed selected after the documented candidate search.</x:v>
      </x:c>
      <x:c r="F2" s="16" t="str">
        <x:v>HB</x:v>
      </x:c>
      <x:c r="G2" s="11" t="n">
        <x:v>0.004</x:v>
      </x:c>
      <x:c r="H2" s="11" t="n">
        <x:v>0.006</x:v>
      </x:c>
      <x:c r="I2" s="12" t="n">
        <x:v>0.9</x:v>
      </x:c>
      <x:c r="J2" s="22" t="str">
        <x:v>Household portfolio with strong aggregation across 10000 customers.</x:v>
      </x:c>
    </x:row>
    <x:row r="3">
      <x:c r="A3" t="str">
        <x:v>daily_common_sigma</x:v>
      </x:c>
      <x:c r="B3" s="8" t="n">
        <x:v>0.022</x:v>
      </x:c>
      <x:c r="C3" t="str">
        <x:v>fraction</x:v>
      </x:c>
      <x:c r="D3" s="6" t="str">
        <x:v>Standard deviation of the persistent daily shock shared by all profiles.</x:v>
      </x:c>
      <x:c r="F3" s="16" t="str">
        <x:v>GB</x:v>
      </x:c>
      <x:c r="G3" s="11" t="n">
        <x:v>-0.003</x:v>
      </x:c>
      <x:c r="H3" s="11" t="n">
        <x:v>0.025</x:v>
      </x:c>
      <x:c r="I3" s="12" t="n">
        <x:v>0.92</x:v>
      </x:c>
      <x:c r="J3" s="22" t="str">
        <x:v>Commercial portfolio with fewer customers and more idiosyncratic variation.</x:v>
      </x:c>
    </x:row>
    <x:row r="4">
      <x:c r="A4" t="str">
        <x:v>daily_common_ar</x:v>
      </x:c>
      <x:c r="B4" s="8" t="n">
        <x:v>0.8</x:v>
      </x:c>
      <x:c r="C4" t="str">
        <x:v>coefficient</x:v>
      </x:c>
      <x:c r="D4" s="6" t="str">
        <x:v>AR(1) persistence of the daily common shock.</x:v>
      </x:c>
      <x:c r="F4" s="18" t="str">
        <x:v>LB</x:v>
      </x:c>
      <x:c r="G4" s="19" t="n">
        <x:v>0.008</x:v>
      </x:c>
      <x:c r="H4" s="19" t="n">
        <x:v>0.045</x:v>
      </x:c>
      <x:c r="I4" s="20" t="n">
        <x:v>0.9</x:v>
      </x:c>
      <x:c r="J4" s="23" t="str">
        <x:v>Agricultural portfolio with only 20 customers and the largest idiosyncratic variation.</x:v>
      </x:c>
    </x:row>
    <x:row r="5">
      <x:c r="A5" t="str">
        <x:v>quarter_hour_common_sigma</x:v>
      </x:c>
      <x:c r="B5" s="8" t="n">
        <x:v>0.006</x:v>
      </x:c>
      <x:c r="C5" t="str">
        <x:v>fraction</x:v>
      </x:c>
      <x:c r="D5" s="6" t="str">
        <x:v>Standard deviation of the persistent quarter-hour shock shared by all profiles.</x:v>
      </x:c>
    </x:row>
    <x:row r="6">
      <x:c r="A6" t="str">
        <x:v>quarter_hour_common_ar</x:v>
      </x:c>
      <x:c r="B6" s="8" t="n">
        <x:v>0.94</x:v>
      </x:c>
      <x:c r="C6" t="str">
        <x:v>coefficient</x:v>
      </x:c>
      <x:c r="D6" s="6" t="str">
        <x:v>AR(1) persistence of the quarter-hour common shock.</x:v>
      </x:c>
    </x:row>
    <x:row r="7">
      <x:c r="A7" t="str">
        <x:v>minimum_load_factor</x:v>
      </x:c>
      <x:c r="B7" s="8" t="n">
        <x:v>0.75</x:v>
      </x:c>
      <x:c r="C7" t="str">
        <x:v>multiple</x:v>
      </x:c>
      <x:c r="D7" s="6" t="str">
        <x:v>Lower bound for actual load divided by forecast load.</x:v>
      </x:c>
    </x:row>
    <x:row r="8">
      <x:c r="A8" t="str">
        <x:v>maximum_load_factor</x:v>
      </x:c>
      <x:c r="B8" s="8" t="n">
        <x:v>1.3</x:v>
      </x:c>
      <x:c r="C8" t="str">
        <x:v>multiple</x:v>
      </x:c>
      <x:c r="D8" s="6" t="str">
        <x:v>Upper bound for actual load divided by forecast load.</x:v>
      </x:c>
    </x:row>
    <x:row r="9">
      <x:c r="A9" t="str">
        <x:v>seed_target_nmae</x:v>
      </x:c>
      <x:c r="B9" s="8" t="n">
        <x:v>0.02</x:v>
      </x:c>
      <x:c r="C9" t="str">
        <x:v>fraction</x:v>
      </x:c>
      <x:c r="D9" s="6" t="str">
        <x:v>Teaching target for normalized mean absolute portfolio forecast error.</x:v>
      </x:c>
    </x:row>
    <x:row r="10">
      <x:c r="A10" t="str">
        <x:v>seed_target_imbalance_premium</x:v>
      </x:c>
      <x:c r="B10" s="8" t="n">
        <x:v>0.35</x:v>
      </x:c>
      <x:c r="C10" t="str">
        <x:v>EUR/MWh</x:v>
      </x:c>
      <x:c r="D10" s="6" t="str">
        <x:v>Teaching target for a moderate positive imbalance premium.</x:v>
      </x:c>
    </x:row>
    <x:row r="13">
      <x:c r="A13" s="42" t="str">
        <x:v>Blue text on yellow fill marks editable simulation assumptions. Changing them does not update this workbook automatically: rerun the Python seed exploration, build and inspection scripts. Observed Day-Ahead and reBAP prices are never altered by these assumptions.</x:v>
      </x:c>
      <x:c r="B13" s="43"/>
      <x:c r="C13" s="43"/>
      <x:c r="D13" s="43"/>
      <x:c r="E13" s="43"/>
      <x:c r="F13" s="43"/>
      <x:c r="G13" s="43"/>
      <x:c r="H13" s="43"/>
      <x:c r="I13" s="43"/>
      <x:c r="J13" s="44"/>
    </x:row>
    <x:row r="14">
      <x:c r="A14" s="45"/>
      <x:c r="B14" s="46"/>
      <x:c r="C14" s="46"/>
      <x:c r="D14" s="46"/>
      <x:c r="E14" s="46"/>
      <x:c r="F14" s="46"/>
      <x:c r="G14" s="46"/>
      <x:c r="H14" s="46"/>
      <x:c r="I14" s="46"/>
      <x:c r="J14" s="47"/>
    </x:row>
    <x:row r="15">
      <x:c r="A15" s="45"/>
      <x:c r="B15" s="46"/>
      <x:c r="C15" s="46"/>
      <x:c r="D15" s="46"/>
      <x:c r="E15" s="46"/>
      <x:c r="F15" s="46"/>
      <x:c r="G15" s="46"/>
      <x:c r="H15" s="46"/>
      <x:c r="I15" s="46"/>
      <x:c r="J15" s="47"/>
    </x:row>
    <x:row r="16">
      <x:c r="A16" s="48"/>
      <x:c r="B16" s="49"/>
      <x:c r="C16" s="49"/>
      <x:c r="D16" s="49"/>
      <x:c r="E16" s="49"/>
      <x:c r="F16" s="49"/>
      <x:c r="G16" s="49"/>
      <x:c r="H16" s="49"/>
      <x:c r="I16" s="49"/>
      <x:c r="J16" s="50"/>
    </x:row>
  </x:sheetData>
  <x:mergeCells>
    <x:mergeCell ref="A13:J16"/>
  </x:mergeCells>
  <x:pageMargins left="0.7" right="0.7" top="0.75" bottom="0.75" header="0.3" footer="0.3"/>
  <x:legacyDrawing xmlns:r="http://schemas.openxmlformats.org/officeDocument/2006/relationships" r:id="R8c38bd162f074583"/>
  <x:tableParts count="1">
    <x:tablePart xmlns:r="http://schemas.openxmlformats.org/officeDocument/2006/relationships" r:id="R14ecef21d3114a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5" hidden="0" customWidth="1"/>
    <x:col min="4" max="4" width="20" hidden="0" customWidth="1"/>
    <x:col min="5" max="5" width="23" hidden="0" customWidth="1"/>
    <x:col min="6" max="6" width="19" hidden="0" customWidth="1"/>
    <x:col min="7" max="7" width="19" hidden="0" customWidth="1"/>
    <x:col min="8" max="8" width="20" hidden="0" customWidth="1"/>
    <x:col min="9" max="9" width="21" hidden="0" customWidth="1"/>
    <x:col min="10" max="10" width="21" hidden="0" customWidth="1"/>
    <x:col min="11" max="11" width="18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</x:cols>
  <x:sheetData>
    <x:row r="1" ht="32" customHeight="1">
      <x:c r="A1" s="4" t="str">
        <x:v>Strategy</x:v>
      </x:c>
      <x:c r="B1" s="4" t="str">
        <x:v>Forecast MWh</x:v>
      </x:c>
      <x:c r="C1" s="4" t="str">
        <x:v>Actual MWh</x:v>
      </x:c>
      <x:c r="D1" s="4" t="str">
        <x:v>Fixed futures cost</x:v>
      </x:c>
      <x:c r="E1" s="4" t="str">
        <x:v>Day-Ahead scheduled cost</x:v>
      </x:c>
      <x:c r="F1" s="4" t="str">
        <x:v>reBAP settlement</x:v>
      </x:c>
      <x:c r="G1" s="4" t="str">
        <x:v>Imbalance premium</x:v>
      </x:c>
      <x:c r="H1" s="4" t="str">
        <x:v>Final cost source</x:v>
      </x:c>
      <x:c r="I1" s="4" t="str">
        <x:v>Absolute open DA MWh</x:v>
      </x:c>
      <x:c r="J1" s="4" t="str">
        <x:v>Forecast shaping coverage</x:v>
      </x:c>
      <x:c r="K1" s="4" t="str">
        <x:v>Monthly price std</x:v>
      </x:c>
      <x:c r="L1" s="58" t="str">
        <x:v>Final cost formula</x:v>
      </x:c>
      <x:c r="M1" s="58" t="str">
        <x:v>Final EUR/MWh</x:v>
      </x:c>
      <x:c r="N1" s="58" t="str">
        <x:v>Saving vs unhedged</x:v>
      </x:c>
      <x:c r="O1" s="58" t="str">
        <x:v>Saving EUR/MWh</x:v>
      </x:c>
      <x:c r="P1" s="58" t="str">
        <x:v>Source tie</x:v>
      </x:c>
    </x:row>
    <x:row r="2">
      <x:c r="A2" t="str">
        <x:v>UNHEDGED</x:v>
      </x:c>
      <x:c r="B2" s="51" t="n">
        <x:v>43000</x:v>
      </x:c>
      <x:c r="C2" s="51" t="n">
        <x:v>43138</x:v>
      </x:c>
      <x:c r="D2" s="52" t="n">
        <x:v>0</x:v>
      </x:c>
      <x:c r="E2" s="52" t="n">
        <x:v>3506703.99098364</x:v>
      </x:c>
      <x:c r="F2" s="52" t="n">
        <x:v>30503.83979857</x:v>
      </x:c>
      <x:c r="G2" s="52" t="n">
        <x:v>13589.24391983</x:v>
      </x:c>
      <x:c r="H2" s="53" t="n">
        <x:v>3537207.83078221</x:v>
      </x:c>
      <x:c r="I2" s="51" t="n">
        <x:v>43000</x:v>
      </x:c>
      <x:c r="J2" s="54" t="n">
        <x:v>0</x:v>
      </x:c>
      <x:c r="K2" s="53" t="n">
        <x:v>20.15327243</x:v>
      </x:c>
      <x:c r="L2" s="53" t="n">
        <x:f>D2+E2+F2</x:f>
        <x:v>3537207.83078221</x:v>
      </x:c>
      <x:c r="M2" s="53" t="n">
        <x:f>L2/C2</x:f>
        <x:v>81.99749248417196</x:v>
      </x:c>
      <x:c r="N2" s="53" t="n">
        <x:f>$L$2-L2</x:f>
        <x:v>0</x:v>
      </x:c>
      <x:c r="O2" s="59" t="n">
        <x:f>N2/C2</x:f>
        <x:v>0</x:v>
      </x:c>
      <x:c r="P2" s="60" t="n">
        <x:f>L2-H2</x:f>
        <x:v>0</x:v>
      </x:c>
    </x:row>
    <x:row r="3">
      <x:c r="A3" t="str">
        <x:v>COARSE_CAL</x:v>
      </x:c>
      <x:c r="B3" s="51" t="n">
        <x:v>43000</x:v>
      </x:c>
      <x:c r="C3" s="51" t="n">
        <x:v>43138</x:v>
      </x:c>
      <x:c r="D3" s="52" t="n">
        <x:v>3493701.73311063</x:v>
      </x:c>
      <x:c r="E3" s="52" t="n">
        <x:v>-42735.08965054</x:v>
      </x:c>
      <x:c r="F3" s="52" t="n">
        <x:v>30503.83979857</x:v>
      </x:c>
      <x:c r="G3" s="52" t="n">
        <x:v>13589.24391983</x:v>
      </x:c>
      <x:c r="H3" s="53" t="n">
        <x:v>3481470.48325866</x:v>
      </x:c>
      <x:c r="I3" s="51" t="n">
        <x:v>12760.12913575</x:v>
      </x:c>
      <x:c r="J3" s="54" t="n">
        <x:v>0.70325281</x:v>
      </x:c>
      <x:c r="K3" s="53" t="n">
        <x:v>2.43238212</x:v>
      </x:c>
      <x:c r="L3" s="53" t="n">
        <x:f>D3+E3+F3</x:f>
        <x:v>3481470.48325866</x:v>
      </x:c>
      <x:c r="M3" s="53" t="n">
        <x:f>L3/C3</x:f>
        <x:v>80.70542174552969</x:v>
      </x:c>
      <x:c r="N3" s="53" t="n">
        <x:f>$L$2-L3</x:f>
        <x:v>55737.34752355004</x:v>
      </x:c>
      <x:c r="O3" s="59" t="n">
        <x:f>N3/C3</x:f>
        <x:v>1.2920707386422652</x:v>
      </x:c>
      <x:c r="P3" s="60" t="n">
        <x:f>L3-H3</x:f>
        <x:v>0</x:v>
      </x:c>
    </x:row>
    <x:row r="4">
      <x:c r="A4" t="str">
        <x:v>GRANULAR</x:v>
      </x:c>
      <x:c r="B4" s="51" t="n">
        <x:v>43000</x:v>
      </x:c>
      <x:c r="C4" s="51" t="n">
        <x:v>43138</x:v>
      </x:c>
      <x:c r="D4" s="52" t="n">
        <x:v>3493705.91681754</x:v>
      </x:c>
      <x:c r="E4" s="52" t="n">
        <x:v>-42198.572761</x:v>
      </x:c>
      <x:c r="F4" s="52" t="n">
        <x:v>30503.83979857</x:v>
      </x:c>
      <x:c r="G4" s="52" t="n">
        <x:v>13589.24391983</x:v>
      </x:c>
      <x:c r="H4" s="53" t="n">
        <x:v>3482011.18385511</x:v>
      </x:c>
      <x:c r="I4" s="51" t="n">
        <x:v>11985.14698987</x:v>
      </x:c>
      <x:c r="J4" s="54" t="n">
        <x:v>0.72127565</x:v>
      </x:c>
      <x:c r="K4" s="53" t="n">
        <x:v>18.56308745</x:v>
      </x:c>
      <x:c r="L4" s="53" t="n">
        <x:f>D4+E4+F4</x:f>
        <x:v>3482011.18385511</x:v>
      </x:c>
      <x:c r="M4" s="53" t="n">
        <x:f>L4/C4</x:f>
        <x:v>80.71795595194747</x:v>
      </x:c>
      <x:c r="N4" s="53" t="n">
        <x:f>$L$2-L4</x:f>
        <x:v>55196.64692710014</x:v>
      </x:c>
      <x:c r="O4" s="59" t="n">
        <x:f>N4/C4</x:f>
        <x:v>1.279536532224492</x:v>
      </x:c>
      <x:c r="P4" s="60" t="n">
        <x:f>L4-H4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ec4ae9566645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6" hidden="0" customWidth="1"/>
    <x:col min="4" max="4" width="20" hidden="0" customWidth="1"/>
    <x:col min="5" max="5" width="23" hidden="0" customWidth="1"/>
    <x:col min="6" max="6" width="19" hidden="0" customWidth="1"/>
    <x:col min="7" max="7" width="20" hidden="0" customWidth="1"/>
    <x:col min="8" max="8" width="19" hidden="0" customWidth="1"/>
    <x:col min="9" max="9" width="18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2" customHeight="1">
      <x:c r="A1" s="4" t="str">
        <x:v>Month</x:v>
      </x:c>
      <x:c r="B1" s="4" t="str">
        <x:v>Strategy</x:v>
      </x:c>
      <x:c r="C1" s="4" t="str">
        <x:v>Actual MWh</x:v>
      </x:c>
      <x:c r="D1" s="4" t="str">
        <x:v>Fixed futures cost</x:v>
      </x:c>
      <x:c r="E1" s="4" t="str">
        <x:v>Day-Ahead scheduled cost</x:v>
      </x:c>
      <x:c r="F1" s="4" t="str">
        <x:v>reBAP settlement</x:v>
      </x:c>
      <x:c r="G1" s="4" t="str">
        <x:v>Final cost source</x:v>
      </x:c>
      <x:c r="H1" s="4" t="str">
        <x:v>Imbalance premium</x:v>
      </x:c>
      <x:c r="I1" s="4" t="str">
        <x:v>Saving source</x:v>
      </x:c>
      <x:c r="J1" s="58" t="str">
        <x:v>Final cost formula</x:v>
      </x:c>
      <x:c r="K1" s="58" t="str">
        <x:v>Final EUR/MWh</x:v>
      </x:c>
      <x:c r="L1" s="58" t="str">
        <x:v>Saving formula</x:v>
      </x:c>
      <x:c r="M1" s="58" t="str">
        <x:v>Final-cost tie</x:v>
      </x:c>
      <x:c r="N1" s="58" t="str">
        <x:v>Saving tie</x:v>
      </x:c>
    </x:row>
    <x:row r="2">
      <x:c r="A2" t="str">
        <x:v>2024-01</x:v>
      </x:c>
      <x:c r="B2" t="str">
        <x:v>UNHEDGED</x:v>
      </x:c>
      <x:c r="C2" s="51" t="n">
        <x:v>4283.25215978</x:v>
      </x:c>
      <x:c r="D2" s="52" t="n">
        <x:v>0</x:v>
      </x:c>
      <x:c r="E2" s="52" t="n">
        <x:v>347001.69192125</x:v>
      </x:c>
      <x:c r="F2" s="52" t="n">
        <x:v>1626.39377754</x:v>
      </x:c>
      <x:c r="G2" s="53" t="n">
        <x:v>348628.08569879</x:v>
      </x:c>
      <x:c r="H2" s="52" t="n">
        <x:v>251.34558994</x:v>
      </x:c>
      <x:c r="I2" s="52" t="n">
        <x:v>0</x:v>
      </x:c>
      <x:c r="J2" s="53" t="n">
        <x:f>D2+E2+F2</x:f>
        <x:v>348628.08569879003</x:v>
      </x:c>
      <x:c r="K2" s="53" t="n">
        <x:f>J2/C2</x:f>
        <x:v>81.39331346690936</x:v>
      </x:c>
      <x:c r="L2" s="52" t="n">
        <x:f>$J$2-J2</x:f>
        <x:v>0</x:v>
      </x:c>
      <x:c r="M2" s="60" t="n">
        <x:f>J2-G2</x:f>
        <x:v>5.820766091346741e-11</x:v>
      </x:c>
      <x:c r="N2" s="60" t="n">
        <x:f>L2-I2</x:f>
        <x:v>0</x:v>
      </x:c>
    </x:row>
    <x:row r="3">
      <x:c r="A3" t="str">
        <x:v>2024-01</x:v>
      </x:c>
      <x:c r="B3" t="str">
        <x:v>COARSE_CAL</x:v>
      </x:c>
      <x:c r="C3" s="51" t="n">
        <x:v>4283.25215978</x:v>
      </x:c>
      <x:c r="D3" s="52" t="n">
        <x:v>297498.40329033</x:v>
      </x:c>
      <x:c r="E3" s="52" t="n">
        <x:v>50024.33577555</x:v>
      </x:c>
      <x:c r="F3" s="52" t="n">
        <x:v>1626.39377754</x:v>
      </x:c>
      <x:c r="G3" s="53" t="n">
        <x:v>349149.13284342</x:v>
      </x:c>
      <x:c r="H3" s="52" t="n">
        <x:v>251.34558994</x:v>
      </x:c>
      <x:c r="I3" s="52" t="n">
        <x:v>-521.04714463</x:v>
      </x:c>
      <x:c r="J3" s="53" t="n">
        <x:f>D3+E3+F3</x:f>
        <x:v>349149.13284342</x:v>
      </x:c>
      <x:c r="K3" s="53" t="n">
        <x:f>J3/C3</x:f>
        <x:v>81.51496102002861</x:v>
      </x:c>
      <x:c r="L3" s="52" t="n">
        <x:f>$J$2-J3</x:f>
        <x:v>-521.0471446299925</x:v>
      </x:c>
      <x:c r="M3" s="60" t="n">
        <x:f>J3-G3</x:f>
        <x:v>0</x:v>
      </x:c>
      <x:c r="N3" s="60" t="n">
        <x:f>L3-I3</x:f>
        <x:v>7.503331289626658e-12</x:v>
      </x:c>
    </x:row>
    <x:row r="4">
      <x:c r="A4" t="str">
        <x:v>2024-01</x:v>
      </x:c>
      <x:c r="B4" t="str">
        <x:v>GRANULAR</x:v>
      </x:c>
      <x:c r="C4" s="51" t="n">
        <x:v>4283.25215978</x:v>
      </x:c>
      <x:c r="D4" s="52" t="n">
        <x:v>339688.94039424</x:v>
      </x:c>
      <x:c r="E4" s="52" t="n">
        <x:v>1816.24302519</x:v>
      </x:c>
      <x:c r="F4" s="52" t="n">
        <x:v>1626.39377754</x:v>
      </x:c>
      <x:c r="G4" s="53" t="n">
        <x:v>343131.57719696</x:v>
      </x:c>
      <x:c r="H4" s="52" t="n">
        <x:v>251.34558994</x:v>
      </x:c>
      <x:c r="I4" s="52" t="n">
        <x:v>5496.50850183</x:v>
      </x:c>
      <x:c r="J4" s="53" t="n">
        <x:f>D4+E4+F4</x:f>
        <x:v>343131.57719697006</x:v>
      </x:c>
      <x:c r="K4" s="53" t="n">
        <x:f>J4/C4</x:f>
        <x:v>80.11005759105116</x:v>
      </x:c>
      <x:c r="L4" s="52" t="n">
        <x:f>$J$2-J4</x:f>
        <x:v>5496.508501819975</x:v>
      </x:c>
      <x:c r="M4" s="60" t="n">
        <x:f>J4-G4</x:f>
        <x:v>1.0069925338029861e-8</x:v>
      </x:c>
      <x:c r="N4" s="60" t="n">
        <x:f>L4-I4</x:f>
        <x:v>-1.0024450602941215e-8</x:v>
      </x:c>
    </x:row>
    <x:row r="5">
      <x:c r="A5" t="str">
        <x:v>2024-02</x:v>
      </x:c>
      <x:c r="B5" t="str">
        <x:v>UNHEDGED</x:v>
      </x:c>
      <x:c r="C5" s="51" t="n">
        <x:v>3933.59986922</x:v>
      </x:c>
      <x:c r="D5" s="52" t="n">
        <x:v>0</x:v>
      </x:c>
      <x:c r="E5" s="52" t="n">
        <x:v>253640.41180469</x:v>
      </x:c>
      <x:c r="F5" s="52" t="n">
        <x:v>1578.11359848</x:v>
      </x:c>
      <x:c r="G5" s="53" t="n">
        <x:v>255218.52540317</x:v>
      </x:c>
      <x:c r="H5" s="52" t="n">
        <x:v>-704.76111259</x:v>
      </x:c>
      <x:c r="I5" s="52" t="n">
        <x:v>0</x:v>
      </x:c>
      <x:c r="J5" s="53" t="n">
        <x:f>D5+E5+F5</x:f>
        <x:v>255218.52540317</x:v>
      </x:c>
      <x:c r="K5" s="53" t="n">
        <x:f>J5/C5</x:f>
        <x:v>64.88166918049488</x:v>
      </x:c>
      <x:c r="L5" s="52" t="n">
        <x:f>$J$5-J5</x:f>
        <x:v>0</x:v>
      </x:c>
      <x:c r="M5" s="60" t="n">
        <x:f>J5-G5</x:f>
        <x:v>0</x:v>
      </x:c>
      <x:c r="N5" s="60" t="n">
        <x:f>L5-I5</x:f>
        <x:v>0</x:v>
      </x:c>
    </x:row>
    <x:row r="6">
      <x:c r="A6" t="str">
        <x:v>2024-02</x:v>
      </x:c>
      <x:c r="B6" t="str">
        <x:v>COARSE_CAL</x:v>
      </x:c>
      <x:c r="C6" s="51" t="n">
        <x:v>3933.59986922</x:v>
      </x:c>
      <x:c r="D6" s="52" t="n">
        <x:v>277294.21357878</x:v>
      </x:c>
      <x:c r="E6" s="52" t="n">
        <x:v>32034.43805692</x:v>
      </x:c>
      <x:c r="F6" s="52" t="n">
        <x:v>1578.11359848</x:v>
      </x:c>
      <x:c r="G6" s="53" t="n">
        <x:v>310906.76523418</x:v>
      </x:c>
      <x:c r="H6" s="52" t="n">
        <x:v>-704.76111259</x:v>
      </x:c>
      <x:c r="I6" s="52" t="n">
        <x:v>-55688.23983101</x:v>
      </x:c>
      <x:c r="J6" s="53" t="n">
        <x:f>D6+E6+F6</x:f>
        <x:v>310906.76523418</x:v>
      </x:c>
      <x:c r="K6" s="53" t="n">
        <x:f>J6/C6</x:f>
        <x:v>79.03873692568284</x:v>
      </x:c>
      <x:c r="L6" s="52" t="n">
        <x:f>$J$5-J6</x:f>
        <x:v>-55688.239831010025</x:v>
      </x:c>
      <x:c r="M6" s="60" t="n">
        <x:f>J6-G6</x:f>
        <x:v>0</x:v>
      </x:c>
      <x:c r="N6" s="60" t="n">
        <x:f>L6-I6</x:f>
        <x:v>-2.1827872842550278e-11</x:v>
      </x:c>
    </x:row>
    <x:row r="7">
      <x:c r="A7" t="str">
        <x:v>2024-02</x:v>
      </x:c>
      <x:c r="B7" t="str">
        <x:v>GRANULAR</x:v>
      </x:c>
      <x:c r="C7" s="51" t="n">
        <x:v>3933.59986922</x:v>
      </x:c>
      <x:c r="D7" s="52" t="n">
        <x:v>245756.49415635</x:v>
      </x:c>
      <x:c r="E7" s="52" t="n">
        <x:v>2910.0859695</x:v>
      </x:c>
      <x:c r="F7" s="52" t="n">
        <x:v>1578.11359848</x:v>
      </x:c>
      <x:c r="G7" s="53" t="n">
        <x:v>250244.69372433</x:v>
      </x:c>
      <x:c r="H7" s="52" t="n">
        <x:v>-704.76111259</x:v>
      </x:c>
      <x:c r="I7" s="52" t="n">
        <x:v>4973.83167884</x:v>
      </x:c>
      <x:c r="J7" s="53" t="n">
        <x:f>D7+E7+F7</x:f>
        <x:v>250244.69372433002</x:v>
      </x:c>
      <x:c r="K7" s="53" t="n">
        <x:f>J7/C7</x:f>
        <x:v>63.61722138605609</x:v>
      </x:c>
      <x:c r="L7" s="52" t="n">
        <x:f>$J$5-J7</x:f>
        <x:v>4973.8316788399825</x:v>
      </x:c>
      <x:c r="M7" s="60" t="n">
        <x:f>J7-G7</x:f>
        <x:v>2.9103830456733704e-11</x:v>
      </x:c>
      <x:c r="N7" s="60" t="n">
        <x:f>L7-I7</x:f>
        <x:v>-1.7280399333685637e-11</x:v>
      </x:c>
    </x:row>
    <x:row r="8">
      <x:c r="A8" t="str">
        <x:v>2024-03</x:v>
      </x:c>
      <x:c r="B8" t="str">
        <x:v>UNHEDGED</x:v>
      </x:c>
      <x:c r="C8" s="51" t="n">
        <x:v>3967.70122271</x:v>
      </x:c>
      <x:c r="D8" s="52" t="n">
        <x:v>0</x:v>
      </x:c>
      <x:c r="E8" s="52" t="n">
        <x:v>260237.26481129</x:v>
      </x:c>
      <x:c r="F8" s="52" t="n">
        <x:v>4026.90619155</x:v>
      </x:c>
      <x:c r="G8" s="53" t="n">
        <x:v>264264.17100284</x:v>
      </x:c>
      <x:c r="H8" s="52" t="n">
        <x:v>1698.80708851</x:v>
      </x:c>
      <x:c r="I8" s="52" t="n">
        <x:v>0</x:v>
      </x:c>
      <x:c r="J8" s="53" t="n">
        <x:f>D8+E8+F8</x:f>
        <x:v>264264.17100284</x:v>
      </x:c>
      <x:c r="K8" s="53" t="n">
        <x:f>J8/C8</x:f>
        <x:v>66.6038484677895</x:v>
      </x:c>
      <x:c r="L8" s="52" t="n">
        <x:f>$J$8-J8</x:f>
        <x:v>0</x:v>
      </x:c>
      <x:c r="M8" s="60" t="n">
        <x:f>J8-G8</x:f>
        <x:v>0</x:v>
      </x:c>
      <x:c r="N8" s="60" t="n">
        <x:f>L8-I8</x:f>
        <x:v>0</x:v>
      </x:c>
    </x:row>
    <x:row r="9">
      <x:c r="A9" t="str">
        <x:v>2024-03</x:v>
      </x:c>
      <x:c r="B9" t="str">
        <x:v>COARSE_CAL</x:v>
      </x:c>
      <x:c r="C9" s="51" t="n">
        <x:v>3967.70122271</x:v>
      </x:c>
      <x:c r="D9" s="52" t="n">
        <x:v>293242.44490978</x:v>
      </x:c>
      <x:c r="E9" s="52" t="n">
        <x:v>13940.93892072</x:v>
      </x:c>
      <x:c r="F9" s="52" t="n">
        <x:v>4026.90619155</x:v>
      </x:c>
      <x:c r="G9" s="53" t="n">
        <x:v>311210.29002205</x:v>
      </x:c>
      <x:c r="H9" s="52" t="n">
        <x:v>1698.80708851</x:v>
      </x:c>
      <x:c r="I9" s="52" t="n">
        <x:v>-46946.11901921</x:v>
      </x:c>
      <x:c r="J9" s="53" t="n">
        <x:f>D9+E9+F9</x:f>
        <x:v>311210.29002205003</x:v>
      </x:c>
      <x:c r="K9" s="53" t="n">
        <x:f>J9/C9</x:f>
        <x:v>78.43591857188498</x:v>
      </x:c>
      <x:c r="L9" s="52" t="n">
        <x:f>$J$8-J9</x:f>
        <x:v>-46946.11901921005</x:v>
      </x:c>
      <x:c r="M9" s="60" t="n">
        <x:f>J9-G9</x:f>
        <x:v>5.820766091346741e-11</x:v>
      </x:c>
      <x:c r="N9" s="60" t="n">
        <x:f>L9-I9</x:f>
        <x:v>-5.093170329928398e-11</x:v>
      </x:c>
    </x:row>
    <x:row r="10">
      <x:c r="A10" t="str">
        <x:v>2024-03</x:v>
      </x:c>
      <x:c r="B10" t="str">
        <x:v>GRANULAR</x:v>
      </x:c>
      <x:c r="C10" s="51" t="n">
        <x:v>3967.70122271</x:v>
      </x:c>
      <x:c r="D10" s="52" t="n">
        <x:v>255419.47178362</x:v>
      </x:c>
      <x:c r="E10" s="52" t="n">
        <x:v>-127.65262761</x:v>
      </x:c>
      <x:c r="F10" s="52" t="n">
        <x:v>4026.90619155</x:v>
      </x:c>
      <x:c r="G10" s="53" t="n">
        <x:v>259318.72534755</x:v>
      </x:c>
      <x:c r="H10" s="52" t="n">
        <x:v>1698.80708851</x:v>
      </x:c>
      <x:c r="I10" s="52" t="n">
        <x:v>4945.44565528</x:v>
      </x:c>
      <x:c r="J10" s="53" t="n">
        <x:f>D10+E10+F10</x:f>
        <x:v>259318.72534756002</x:v>
      </x:c>
      <x:c r="K10" s="53" t="n">
        <x:f>J10/C10</x:f>
        <x:v>65.35742254565262</x:v>
      </x:c>
      <x:c r="L10" s="52" t="n">
        <x:f>$J$8-J10</x:f>
        <x:v>4945.4456552799675</x:v>
      </x:c>
      <x:c r="M10" s="60" t="n">
        <x:f>J10-G10</x:f>
        <x:v>1.0011717677116394e-8</x:v>
      </x:c>
      <x:c r="N10" s="60" t="n">
        <x:f>L10-I10</x:f>
        <x:v>-3.2741809263825417e-11</x:v>
      </x:c>
    </x:row>
    <x:row r="11">
      <x:c r="A11" t="str">
        <x:v>2024-04</x:v>
      </x:c>
      <x:c r="B11" t="str">
        <x:v>UNHEDGED</x:v>
      </x:c>
      <x:c r="C11" s="51" t="n">
        <x:v>3556.84729518</x:v>
      </x:c>
      <x:c r="D11" s="52" t="n">
        <x:v>0</x:v>
      </x:c>
      <x:c r="E11" s="52" t="n">
        <x:v>224229.79218063</x:v>
      </x:c>
      <x:c r="F11" s="52" t="n">
        <x:v>872.94783265</x:v>
      </x:c>
      <x:c r="G11" s="53" t="n">
        <x:v>225102.74001328</x:v>
      </x:c>
      <x:c r="H11" s="52" t="n">
        <x:v>373.50151189</x:v>
      </x:c>
      <x:c r="I11" s="52" t="n">
        <x:v>0</x:v>
      </x:c>
      <x:c r="J11" s="53" t="n">
        <x:f>D11+E11+F11</x:f>
        <x:v>225102.74001328</x:v>
      </x:c>
      <x:c r="K11" s="53" t="n">
        <x:f>J11/C11</x:f>
        <x:v>63.2871532939646</x:v>
      </x:c>
      <x:c r="L11" s="52" t="n">
        <x:f>$J$11-J11</x:f>
        <x:v>0</x:v>
      </x:c>
      <x:c r="M11" s="60" t="n">
        <x:f>J11-G11</x:f>
        <x:v>0</x:v>
      </x:c>
      <x:c r="N11" s="60" t="n">
        <x:f>L11-I11</x:f>
        <x:v>0</x:v>
      </x:c>
    </x:row>
    <x:row r="12">
      <x:c r="A12" t="str">
        <x:v>2024-04</x:v>
      </x:c>
      <x:c r="B12" t="str">
        <x:v>COARSE_CAL</x:v>
      </x:c>
      <x:c r="C12" s="51" t="n">
        <x:v>3556.84729518</x:v>
      </x:c>
      <x:c r="D12" s="52" t="n">
        <x:v>287396.30843456</x:v>
      </x:c>
      <x:c r="E12" s="52" t="n">
        <x:v>-6258.23539387</x:v>
      </x:c>
      <x:c r="F12" s="52" t="n">
        <x:v>872.94783265</x:v>
      </x:c>
      <x:c r="G12" s="53" t="n">
        <x:v>282011.02087334</x:v>
      </x:c>
      <x:c r="H12" s="52" t="n">
        <x:v>373.50151189</x:v>
      </x:c>
      <x:c r="I12" s="52" t="n">
        <x:v>-56908.28086006</x:v>
      </x:c>
      <x:c r="J12" s="53" t="n">
        <x:f>D12+E12+F12</x:f>
        <x:v>282011.02087334</x:v>
      </x:c>
      <x:c r="K12" s="53" t="n">
        <x:f>J12/C12</x:f>
        <x:v>79.28679458786503</x:v>
      </x:c>
      <x:c r="L12" s="52" t="n">
        <x:f>$J$11-J12</x:f>
        <x:v>-56908.28086006001</x:v>
      </x:c>
      <x:c r="M12" s="60" t="n">
        <x:f>J12-G12</x:f>
        <x:v>0</x:v>
      </x:c>
      <x:c r="N12" s="60" t="n">
        <x:f>L12-I12</x:f>
        <x:v>-1.4551915228366852e-11</x:v>
      </x:c>
    </x:row>
    <x:row r="13">
      <x:c r="A13" t="str">
        <x:v>2024-04</x:v>
      </x:c>
      <x:c r="B13" t="str">
        <x:v>GRANULAR</x:v>
      </x:c>
      <x:c r="C13" s="51" t="n">
        <x:v>3556.84729518</x:v>
      </x:c>
      <x:c r="D13" s="52" t="n">
        <x:v>219433.77375239</x:v>
      </x:c>
      <x:c r="E13" s="52" t="n">
        <x:v>14984.95773456</x:v>
      </x:c>
      <x:c r="F13" s="52" t="n">
        <x:v>872.94783265</x:v>
      </x:c>
      <x:c r="G13" s="53" t="n">
        <x:v>235291.6793196</x:v>
      </x:c>
      <x:c r="H13" s="52" t="n">
        <x:v>373.50151189</x:v>
      </x:c>
      <x:c r="I13" s="52" t="n">
        <x:v>-10188.93930632</x:v>
      </x:c>
      <x:c r="J13" s="53" t="n">
        <x:f>D13+E13+F13</x:f>
        <x:v>235291.67931960002</x:v>
      </x:c>
      <x:c r="K13" s="53" t="n">
        <x:f>J13/C13</x:f>
        <x:v>66.15175176017578</x:v>
      </x:c>
      <x:c r="L13" s="52" t="n">
        <x:f>$J$11-J13</x:f>
        <x:v>-10188.939306320011</x:v>
      </x:c>
      <x:c r="M13" s="60" t="n">
        <x:f>J13-G13</x:f>
        <x:v>2.9103830456733704e-11</x:v>
      </x:c>
      <x:c r="N13" s="60" t="n">
        <x:f>L13-I13</x:f>
        <x:v>-1.0913936421275139e-11</x:v>
      </x:c>
    </x:row>
    <x:row r="14">
      <x:c r="A14" t="str">
        <x:v>2024-05</x:v>
      </x:c>
      <x:c r="B14" t="str">
        <x:v>UNHEDGED</x:v>
      </x:c>
      <x:c r="C14" s="51" t="n">
        <x:v>3325.24083843</x:v>
      </x:c>
      <x:c r="D14" s="52" t="n">
        <x:v>0</x:v>
      </x:c>
      <x:c r="E14" s="52" t="n">
        <x:v>220958.66588772</x:v>
      </x:c>
      <x:c r="F14" s="52" t="n">
        <x:v>-82.96183135</x:v>
      </x:c>
      <x:c r="G14" s="53" t="n">
        <x:v>220875.70405637</x:v>
      </x:c>
      <x:c r="H14" s="52" t="n">
        <x:v>1421.8584017</x:v>
      </x:c>
      <x:c r="I14" s="52" t="n">
        <x:v>0</x:v>
      </x:c>
      <x:c r="J14" s="53" t="n">
        <x:f>D14+E14+F14</x:f>
        <x:v>220875.70405637</x:v>
      </x:c>
      <x:c r="K14" s="53" t="n">
        <x:f>J14/C14</x:f>
        <x:v>66.42397191316093</x:v>
      </x:c>
      <x:c r="L14" s="52" t="n">
        <x:f>$J$14-J14</x:f>
        <x:v>0</x:v>
      </x:c>
      <x:c r="M14" s="60" t="n">
        <x:f>J14-G14</x:f>
        <x:v>0</x:v>
      </x:c>
      <x:c r="N14" s="60" t="n">
        <x:f>L14-I14</x:f>
        <x:v>0</x:v>
      </x:c>
    </x:row>
    <x:row r="15">
      <x:c r="A15" t="str">
        <x:v>2024-05</x:v>
      </x:c>
      <x:c r="B15" t="str">
        <x:v>COARSE_CAL</x:v>
      </x:c>
      <x:c r="C15" s="51" t="n">
        <x:v>3325.24083843</x:v>
      </x:c>
      <x:c r="D15" s="52" t="n">
        <x:v>297498.40329033</x:v>
      </x:c>
      <x:c r="E15" s="52" t="n">
        <x:v>-29551.84061521</x:v>
      </x:c>
      <x:c r="F15" s="52" t="n">
        <x:v>-82.96183135</x:v>
      </x:c>
      <x:c r="G15" s="53" t="n">
        <x:v>267863.60084378</x:v>
      </x:c>
      <x:c r="H15" s="52" t="n">
        <x:v>1421.8584017</x:v>
      </x:c>
      <x:c r="I15" s="52" t="n">
        <x:v>-46987.8967874</x:v>
      </x:c>
      <x:c r="J15" s="53" t="n">
        <x:f>D15+E15+F15</x:f>
        <x:v>267863.60084377</x:v>
      </x:c>
      <x:c r="K15" s="53" t="n">
        <x:f>J15/C15</x:f>
        <x:v>80.55464667342436</x:v>
      </x:c>
      <x:c r="L15" s="52" t="n">
        <x:f>$J$14-J15</x:f>
        <x:v>-46987.89678740001</x:v>
      </x:c>
      <x:c r="M15" s="60" t="n">
        <x:f>J15-G15</x:f>
        <x:v>-9.953510016202927e-9</x:v>
      </x:c>
      <x:c r="N15" s="60" t="n">
        <x:f>L15-I15</x:f>
        <x:v>-7.275957614183426e-12</x:v>
      </x:c>
    </x:row>
    <x:row r="16">
      <x:c r="A16" t="str">
        <x:v>2024-05</x:v>
      </x:c>
      <x:c r="B16" t="str">
        <x:v>GRANULAR</x:v>
      </x:c>
      <x:c r="C16" s="51" t="n">
        <x:v>3325.24083843</x:v>
      </x:c>
      <x:c r="D16" s="52" t="n">
        <x:v>227096.01586957</x:v>
      </x:c>
      <x:c r="E16" s="52" t="n">
        <x:v>-6569.9608155</x:v>
      </x:c>
      <x:c r="F16" s="52" t="n">
        <x:v>-82.96183135</x:v>
      </x:c>
      <x:c r="G16" s="53" t="n">
        <x:v>220443.09322273</x:v>
      </x:c>
      <x:c r="H16" s="52" t="n">
        <x:v>1421.8584017</x:v>
      </x:c>
      <x:c r="I16" s="52" t="n">
        <x:v>432.61083364</x:v>
      </x:c>
      <x:c r="J16" s="53" t="n">
        <x:f>D16+E16+F16</x:f>
        <x:v>220443.09322272</x:v>
      </x:c>
      <x:c r="K16" s="53" t="n">
        <x:f>J16/C16</x:f>
        <x:v>66.29387281517971</x:v>
      </x:c>
      <x:c r="L16" s="52" t="n">
        <x:f>$J$14-J16</x:f>
        <x:v>432.6108336500183</x:v>
      </x:c>
      <x:c r="M16" s="60" t="n">
        <x:f>J16-G16</x:f>
        <x:v>-1.0011717677116394e-8</x:v>
      </x:c>
      <x:c r="N16" s="60" t="n">
        <x:f>L16-I16</x:f>
        <x:v>1.0018311513704248e-8</x:v>
      </x:c>
    </x:row>
    <x:row r="17">
      <x:c r="A17" t="str">
        <x:v>2024-06</x:v>
      </x:c>
      <x:c r="B17" t="str">
        <x:v>UNHEDGED</x:v>
      </x:c>
      <x:c r="C17" s="51" t="n">
        <x:v>3108.6364379</x:v>
      </x:c>
      <x:c r="D17" s="52" t="n">
        <x:v>0</x:v>
      </x:c>
      <x:c r="E17" s="52" t="n">
        <x:v>222167.244131</x:v>
      </x:c>
      <x:c r="F17" s="52" t="n">
        <x:v>9396.96110944</x:v>
      </x:c>
      <x:c r="G17" s="53" t="n">
        <x:v>231564.20524044</x:v>
      </x:c>
      <x:c r="H17" s="52" t="n">
        <x:v>7094.98039094</x:v>
      </x:c>
      <x:c r="I17" s="52" t="n">
        <x:v>0</x:v>
      </x:c>
      <x:c r="J17" s="53" t="n">
        <x:f>D17+E17+F17</x:f>
        <x:v>231564.20524044</x:v>
      </x:c>
      <x:c r="K17" s="53" t="n">
        <x:f>J17/C17</x:f>
        <x:v>74.4906037956855</x:v>
      </x:c>
      <x:c r="L17" s="52" t="n">
        <x:f>$J$17-J17</x:f>
        <x:v>0</x:v>
      </x:c>
      <x:c r="M17" s="60" t="n">
        <x:f>J17-G17</x:f>
        <x:v>0</x:v>
      </x:c>
      <x:c r="N17" s="60" t="n">
        <x:f>L17-I17</x:f>
        <x:v>0</x:v>
      </x:c>
    </x:row>
    <x:row r="18">
      <x:c r="A18" t="str">
        <x:v>2024-06</x:v>
      </x:c>
      <x:c r="B18" t="str">
        <x:v>COARSE_CAL</x:v>
      </x:c>
      <x:c r="C18" s="51" t="n">
        <x:v>3108.6364379</x:v>
      </x:c>
      <x:c r="D18" s="52" t="n">
        <x:v>283479.67412488</x:v>
      </x:c>
      <x:c r="E18" s="52" t="n">
        <x:v>-41162.9769132</x:v>
      </x:c>
      <x:c r="F18" s="52" t="n">
        <x:v>9396.96110944</x:v>
      </x:c>
      <x:c r="G18" s="53" t="n">
        <x:v>251713.65832112</x:v>
      </x:c>
      <x:c r="H18" s="52" t="n">
        <x:v>7094.98039094</x:v>
      </x:c>
      <x:c r="I18" s="52" t="n">
        <x:v>-20149.45308068</x:v>
      </x:c>
      <x:c r="J18" s="53" t="n">
        <x:f>D18+E18+F18</x:f>
        <x:v>251713.65832112</x:v>
      </x:c>
      <x:c r="K18" s="53" t="n">
        <x:f>J18/C18</x:f>
        <x:v>80.97236950975262</x:v>
      </x:c>
      <x:c r="L18" s="52" t="n">
        <x:f>$J$17-J18</x:f>
        <x:v>-20149.45308067999</x:v>
      </x:c>
      <x:c r="M18" s="60" t="n">
        <x:f>J18-G18</x:f>
        <x:v>0</x:v>
      </x:c>
      <x:c r="N18" s="60" t="n">
        <x:f>L18-I18</x:f>
        <x:v>1.0913936421275139e-11</x:v>
      </x:c>
    </x:row>
    <x:row r="19">
      <x:c r="A19" t="str">
        <x:v>2024-06</x:v>
      </x:c>
      <x:c r="B19" t="str">
        <x:v>GRANULAR</x:v>
      </x:c>
      <x:c r="C19" s="51" t="n">
        <x:v>3108.6364379</x:v>
      </x:c>
      <x:c r="D19" s="52" t="n">
        <x:v>216825.40131161</x:v>
      </x:c>
      <x:c r="E19" s="52" t="n">
        <x:v>-16997.56726371</x:v>
      </x:c>
      <x:c r="F19" s="52" t="n">
        <x:v>9396.96110944</x:v>
      </x:c>
      <x:c r="G19" s="53" t="n">
        <x:v>209224.79515734</x:v>
      </x:c>
      <x:c r="H19" s="52" t="n">
        <x:v>7094.98039094</x:v>
      </x:c>
      <x:c r="I19" s="52" t="n">
        <x:v>22339.41008309</x:v>
      </x:c>
      <x:c r="J19" s="53" t="n">
        <x:f>D19+E19+F19</x:f>
        <x:v>209224.79515734</x:v>
      </x:c>
      <x:c r="K19" s="53" t="n">
        <x:f>J19/C19</x:f>
        <x:v>67.30436296972674</x:v>
      </x:c>
      <x:c r="L19" s="52" t="n">
        <x:f>$J$17-J19</x:f>
        <x:v>22339.410083099996</x:v>
      </x:c>
      <x:c r="M19" s="60" t="n">
        <x:f>J19-G19</x:f>
        <x:v>0</x:v>
      </x:c>
      <x:c r="N19" s="60" t="n">
        <x:f>L19-I19</x:f>
        <x:v>9.997165761888027e-9</x:v>
      </x:c>
    </x:row>
    <x:row r="20">
      <x:c r="A20" t="str">
        <x:v>2024-07</x:v>
      </x:c>
      <x:c r="B20" t="str">
        <x:v>UNHEDGED</x:v>
      </x:c>
      <x:c r="C20" s="51" t="n">
        <x:v>3088.11319086</x:v>
      </x:c>
      <x:c r="D20" s="52" t="n">
        <x:v>0</x:v>
      </x:c>
      <x:c r="E20" s="52" t="n">
        <x:v>205193.54144518</x:v>
      </x:c>
      <x:c r="F20" s="52" t="n">
        <x:v>1511.47478181</x:v>
      </x:c>
      <x:c r="G20" s="53" t="n">
        <x:v>206705.01622699</x:v>
      </x:c>
      <x:c r="H20" s="52" t="n">
        <x:v>914.85036476</x:v>
      </x:c>
      <x:c r="I20" s="52" t="n">
        <x:v>0</x:v>
      </x:c>
      <x:c r="J20" s="53" t="n">
        <x:f>D20+E20+F20</x:f>
        <x:v>206705.01622698997</x:v>
      </x:c>
      <x:c r="K20" s="53" t="n">
        <x:f>J20/C20</x:f>
        <x:v>66.93569939041815</x:v>
      </x:c>
      <x:c r="L20" s="52" t="n">
        <x:f>$J$20-J20</x:f>
        <x:v>0</x:v>
      </x:c>
      <x:c r="M20" s="60" t="n">
        <x:f>J20-G20</x:f>
        <x:v>-2.9103830456733704e-11</x:v>
      </x:c>
      <x:c r="N20" s="60" t="n">
        <x:f>L20-I20</x:f>
        <x:v>0</x:v>
      </x:c>
    </x:row>
    <x:row r="21">
      <x:c r="A21" t="str">
        <x:v>2024-07</x:v>
      </x:c>
      <x:c r="B21" t="str">
        <x:v>COARSE_CAL</x:v>
      </x:c>
      <x:c r="C21" s="51" t="n">
        <x:v>3088.11319086</x:v>
      </x:c>
      <x:c r="D21" s="52" t="n">
        <x:v>297498.40329033</x:v>
      </x:c>
      <x:c r="E21" s="52" t="n">
        <x:v>-46583.13583013</x:v>
      </x:c>
      <x:c r="F21" s="52" t="n">
        <x:v>1511.47478181</x:v>
      </x:c>
      <x:c r="G21" s="53" t="n">
        <x:v>252426.74224201</x:v>
      </x:c>
      <x:c r="H21" s="52" t="n">
        <x:v>914.85036476</x:v>
      </x:c>
      <x:c r="I21" s="52" t="n">
        <x:v>-45721.72601502</x:v>
      </x:c>
      <x:c r="J21" s="53" t="n">
        <x:f>D21+E21+F21</x:f>
        <x:v>252426.74224201002</x:v>
      </x:c>
      <x:c r="K21" s="53" t="n">
        <x:f>J21/C21</x:f>
        <x:v>81.74141511040675</x:v>
      </x:c>
      <x:c r="L21" s="52" t="n">
        <x:f>$J$20-J21</x:f>
        <x:v>-45721.726015020045</x:v>
      </x:c>
      <x:c r="M21" s="60" t="n">
        <x:f>J21-G21</x:f>
        <x:v>2.9103830456733704e-11</x:v>
      </x:c>
      <x:c r="N21" s="60" t="n">
        <x:f>L21-I21</x:f>
        <x:v>-4.3655745685100555e-11</x:v>
      </x:c>
    </x:row>
    <x:row r="22">
      <x:c r="A22" t="str">
        <x:v>2024-07</x:v>
      </x:c>
      <x:c r="B22" t="str">
        <x:v>GRANULAR</x:v>
      </x:c>
      <x:c r="C22" s="51" t="n">
        <x:v>3088.11319086</x:v>
      </x:c>
      <x:c r="D22" s="52" t="n">
        <x:v>243368.60851501</x:v>
      </x:c>
      <x:c r="E22" s="52" t="n">
        <x:v>-13629.8977233</x:v>
      </x:c>
      <x:c r="F22" s="52" t="n">
        <x:v>1511.47478181</x:v>
      </x:c>
      <x:c r="G22" s="53" t="n">
        <x:v>231250.18557353</x:v>
      </x:c>
      <x:c r="H22" s="52" t="n">
        <x:v>914.85036476</x:v>
      </x:c>
      <x:c r="I22" s="52" t="n">
        <x:v>-24545.16934654</x:v>
      </x:c>
      <x:c r="J22" s="53" t="n">
        <x:f>D22+E22+F22</x:f>
        <x:v>231250.18557352</x:v>
      </x:c>
      <x:c r="K22" s="53" t="n">
        <x:f>J22/C22</x:f>
        <x:v>74.88397324876546</x:v>
      </x:c>
      <x:c r="L22" s="52" t="n">
        <x:f>$J$20-J22</x:f>
        <x:v>-24545.16934653002</x:v>
      </x:c>
      <x:c r="M22" s="60" t="n">
        <x:f>J22-G22</x:f>
        <x:v>-1.0011717677116394e-8</x:v>
      </x:c>
      <x:c r="N22" s="60" t="n">
        <x:f>L22-I22</x:f>
        <x:v>9.978975867852569e-9</x:v>
      </x:c>
    </x:row>
    <x:row r="23">
      <x:c r="A23" t="str">
        <x:v>2024-08</x:v>
      </x:c>
      <x:c r="B23" t="str">
        <x:v>UNHEDGED</x:v>
      </x:c>
      <x:c r="C23" s="51" t="n">
        <x:v>3103.68760887</x:v>
      </x:c>
      <x:c r="D23" s="52" t="n">
        <x:v>0</x:v>
      </x:c>
      <x:c r="E23" s="52" t="n">
        <x:v>252512.19086648</x:v>
      </x:c>
      <x:c r="F23" s="52" t="n">
        <x:v>-4478.98879667</x:v>
      </x:c>
      <x:c r="G23" s="53" t="n">
        <x:v>248033.20206981</x:v>
      </x:c>
      <x:c r="H23" s="52" t="n">
        <x:v>-1008.53682459</x:v>
      </x:c>
      <x:c r="I23" s="52" t="n">
        <x:v>0</x:v>
      </x:c>
      <x:c r="J23" s="53" t="n">
        <x:f>D23+E23+F23</x:f>
        <x:v>248033.20206981</x:v>
      </x:c>
      <x:c r="K23" s="53" t="n">
        <x:f>J23/C23</x:f>
        <x:v>79.91564658793565</x:v>
      </x:c>
      <x:c r="L23" s="52" t="n">
        <x:f>$J$23-J23</x:f>
        <x:v>0</x:v>
      </x:c>
      <x:c r="M23" s="60" t="n">
        <x:f>J23-G23</x:f>
        <x:v>0</x:v>
      </x:c>
      <x:c r="N23" s="60" t="n">
        <x:f>L23-I23</x:f>
        <x:v>0</x:v>
      </x:c>
    </x:row>
    <x:row r="24">
      <x:c r="A24" t="str">
        <x:v>2024-08</x:v>
      </x:c>
      <x:c r="B24" t="str">
        <x:v>COARSE_CAL</x:v>
      </x:c>
      <x:c r="C24" s="51" t="n">
        <x:v>3103.68760887</x:v>
      </x:c>
      <x:c r="D24" s="52" t="n">
        <x:v>295540.08613549</x:v>
      </x:c>
      <x:c r="E24" s="52" t="n">
        <x:v>-50814.96489705</x:v>
      </x:c>
      <x:c r="F24" s="52" t="n">
        <x:v>-4478.98879667</x:v>
      </x:c>
      <x:c r="G24" s="53" t="n">
        <x:v>240246.13244177</x:v>
      </x:c>
      <x:c r="H24" s="52" t="n">
        <x:v>-1008.53682459</x:v>
      </x:c>
      <x:c r="I24" s="52" t="n">
        <x:v>7787.06962804</x:v>
      </x:c>
      <x:c r="J24" s="53" t="n">
        <x:f>D24+E24+F24</x:f>
        <x:v>240246.13244177</x:v>
      </x:c>
      <x:c r="K24" s="53" t="n">
        <x:f>J24/C24</x:f>
        <x:v>77.40667319583736</x:v>
      </x:c>
      <x:c r="L24" s="52" t="n">
        <x:f>$J$23-J24</x:f>
        <x:v>7787.069628040015</x:v>
      </x:c>
      <x:c r="M24" s="60" t="n">
        <x:f>J24-G24</x:f>
        <x:v>0</x:v>
      </x:c>
      <x:c r="N24" s="60" t="n">
        <x:f>L24-I24</x:f>
        <x:v>1.546140993013978e-11</x:v>
      </x:c>
    </x:row>
    <x:row r="25">
      <x:c r="A25" t="str">
        <x:v>2024-08</x:v>
      </x:c>
      <x:c r="B25" t="str">
        <x:v>GRANULAR</x:v>
      </x:c>
      <x:c r="C25" s="51" t="n">
        <x:v>3103.68760887</x:v>
      </x:c>
      <x:c r="D25" s="52" t="n">
        <x:v>242091.18857118</x:v>
      </x:c>
      <x:c r="E25" s="52" t="n">
        <x:v>-11207.95046711</x:v>
      </x:c>
      <x:c r="F25" s="52" t="n">
        <x:v>-4478.98879667</x:v>
      </x:c>
      <x:c r="G25" s="53" t="n">
        <x:v>226404.24930739</x:v>
      </x:c>
      <x:c r="H25" s="52" t="n">
        <x:v>-1008.53682459</x:v>
      </x:c>
      <x:c r="I25" s="52" t="n">
        <x:v>21628.95276242</x:v>
      </x:c>
      <x:c r="J25" s="53" t="n">
        <x:f>D25+E25+F25</x:f>
        <x:v>226404.24930740002</x:v>
      </x:c>
      <x:c r="K25" s="53" t="n">
        <x:f>J25/C25</x:f>
        <x:v>72.94685478666133</x:v>
      </x:c>
      <x:c r="L25" s="52" t="n">
        <x:f>$J$23-J25</x:f>
        <x:v>21628.952762409986</x:v>
      </x:c>
      <x:c r="M25" s="60" t="n">
        <x:f>J25-G25</x:f>
        <x:v>1.0011717677116394e-8</x:v>
      </x:c>
      <x:c r="N25" s="60" t="n">
        <x:f>L25-I25</x:f>
        <x:v>-1.0015355655923486e-8</x:v>
      </x:c>
    </x:row>
    <x:row r="26">
      <x:c r="A26" t="str">
        <x:v>2024-09</x:v>
      </x:c>
      <x:c r="B26" t="str">
        <x:v>UNHEDGED</x:v>
      </x:c>
      <x:c r="C26" s="51" t="n">
        <x:v>3230.85804289</x:v>
      </x:c>
      <x:c r="D26" s="52" t="n">
        <x:v>0</x:v>
      </x:c>
      <x:c r="E26" s="52" t="n">
        <x:v>253215.21737725</x:v>
      </x:c>
      <x:c r="F26" s="52" t="n">
        <x:v>1735.67843012</x:v>
      </x:c>
      <x:c r="G26" s="53" t="n">
        <x:v>254950.89580737</x:v>
      </x:c>
      <x:c r="H26" s="52" t="n">
        <x:v>-273.50255777</x:v>
      </x:c>
      <x:c r="I26" s="52" t="n">
        <x:v>0</x:v>
      </x:c>
      <x:c r="J26" s="53" t="n">
        <x:f>D26+E26+F26</x:f>
        <x:v>254950.89580737</x:v>
      </x:c>
      <x:c r="K26" s="53" t="n">
        <x:f>J26/C26</x:f>
        <x:v>78.91120328496903</x:v>
      </x:c>
      <x:c r="L26" s="52" t="n">
        <x:f>$J$26-J26</x:f>
        <x:v>0</x:v>
      </x:c>
      <x:c r="M26" s="60" t="n">
        <x:f>J26-G26</x:f>
        <x:v>0</x:v>
      </x:c>
      <x:c r="N26" s="60" t="n">
        <x:f>L26-I26</x:f>
        <x:v>0</x:v>
      </x:c>
    </x:row>
    <x:row r="27">
      <x:c r="A27" t="str">
        <x:v>2024-09</x:v>
      </x:c>
      <x:c r="B27" t="str">
        <x:v>COARSE_CAL</x:v>
      </x:c>
      <x:c r="C27" s="51" t="n">
        <x:v>3230.85804289</x:v>
      </x:c>
      <x:c r="D27" s="52" t="n">
        <x:v>285437.99127972</x:v>
      </x:c>
      <x:c r="E27" s="52" t="n">
        <x:v>-33579.57711873</x:v>
      </x:c>
      <x:c r="F27" s="52" t="n">
        <x:v>1735.67843012</x:v>
      </x:c>
      <x:c r="G27" s="53" t="n">
        <x:v>253594.0925911</x:v>
      </x:c>
      <x:c r="H27" s="52" t="n">
        <x:v>-273.50255777</x:v>
      </x:c>
      <x:c r="I27" s="52" t="n">
        <x:v>1356.80321626</x:v>
      </x:c>
      <x:c r="J27" s="53" t="n">
        <x:f>D27+E27+F27</x:f>
        <x:v>253594.09259110998</x:v>
      </x:c>
      <x:c r="K27" s="53" t="n">
        <x:f>J27/C27</x:f>
        <x:v>78.49125192893658</x:v>
      </x:c>
      <x:c r="L27" s="52" t="n">
        <x:f>$J$26-J27</x:f>
        <x:v>1356.8032162600139</x:v>
      </x:c>
      <x:c r="M27" s="60" t="n">
        <x:f>J27-G27</x:f>
        <x:v>9.98261384665966e-9</x:v>
      </x:c>
      <x:c r="N27" s="60" t="n">
        <x:f>L27-I27</x:f>
        <x:v>1.3869794202037156e-11</x:v>
      </x:c>
    </x:row>
    <x:row r="28">
      <x:c r="A28" t="str">
        <x:v>2024-09</x:v>
      </x:c>
      <x:c r="B28" t="str">
        <x:v>GRANULAR</x:v>
      </x:c>
      <x:c r="C28" s="51" t="n">
        <x:v>3230.85804289</x:v>
      </x:c>
      <x:c r="D28" s="52" t="n">
        <x:v>233910.9315368</x:v>
      </x:c>
      <x:c r="E28" s="52" t="n">
        <x:v>4210.2365962</x:v>
      </x:c>
      <x:c r="F28" s="52" t="n">
        <x:v>1735.67843012</x:v>
      </x:c>
      <x:c r="G28" s="53" t="n">
        <x:v>239856.84656312</x:v>
      </x:c>
      <x:c r="H28" s="52" t="n">
        <x:v>-273.50255777</x:v>
      </x:c>
      <x:c r="I28" s="52" t="n">
        <x:v>15094.04924425</x:v>
      </x:c>
      <x:c r="J28" s="53" t="n">
        <x:f>D28+E28+F28</x:f>
        <x:v>239856.84656312</x:v>
      </x:c>
      <x:c r="K28" s="53" t="n">
        <x:f>J28/C28</x:f>
        <x:v>74.23936408811333</x:v>
      </x:c>
      <x:c r="L28" s="52" t="n">
        <x:f>$J$26-J28</x:f>
        <x:v>15094.049244249996</x:v>
      </x:c>
      <x:c r="M28" s="60" t="n">
        <x:f>J28-G28</x:f>
        <x:v>0</x:v>
      </x:c>
      <x:c r="N28" s="60" t="n">
        <x:f>L28-I28</x:f>
        <x:v>-3.637978807091713e-12</x:v>
      </x:c>
    </x:row>
    <x:row r="29">
      <x:c r="A29" t="str">
        <x:v>2024-10</x:v>
      </x:c>
      <x:c r="B29" t="str">
        <x:v>UNHEDGED</x:v>
      </x:c>
      <x:c r="C29" s="51" t="n">
        <x:v>3678.99003669</x:v>
      </x:c>
      <x:c r="D29" s="52" t="n">
        <x:v>0</x:v>
      </x:c>
      <x:c r="E29" s="52" t="n">
        <x:v>326351.3721063</x:v>
      </x:c>
      <x:c r="F29" s="52" t="n">
        <x:v>8404.65849482</x:v>
      </x:c>
      <x:c r="G29" s="53" t="n">
        <x:v>334756.03060112</x:v>
      </x:c>
      <x:c r="H29" s="52" t="n">
        <x:v>232.80683053</x:v>
      </x:c>
      <x:c r="I29" s="52" t="n">
        <x:v>0</x:v>
      </x:c>
      <x:c r="J29" s="53" t="n">
        <x:f>D29+E29+F29</x:f>
        <x:v>334756.03060112003</x:v>
      </x:c>
      <x:c r="K29" s="53" t="n">
        <x:f>J29/C29</x:f>
        <x:v>90.99128490771918</x:v>
      </x:c>
      <x:c r="L29" s="52" t="n">
        <x:f>$J$29-J29</x:f>
        <x:v>0</x:v>
      </x:c>
      <x:c r="M29" s="60" t="n">
        <x:f>J29-G29</x:f>
        <x:v>5.820766091346741e-11</x:v>
      </x:c>
      <x:c r="N29" s="60" t="n">
        <x:f>L29-I29</x:f>
        <x:v>0</x:v>
      </x:c>
    </x:row>
    <x:row r="30">
      <x:c r="A30" t="str">
        <x:v>2024-10</x:v>
      </x:c>
      <x:c r="B30" t="str">
        <x:v>COARSE_CAL</x:v>
      </x:c>
      <x:c r="C30" s="51" t="n">
        <x:v>3678.99003669</x:v>
      </x:c>
      <x:c r="D30" s="52" t="n">
        <x:v>297837.72736121</x:v>
      </x:c>
      <x:c r="E30" s="52" t="n">
        <x:v>-9860.87302955</x:v>
      </x:c>
      <x:c r="F30" s="52" t="n">
        <x:v>8404.65849482</x:v>
      </x:c>
      <x:c r="G30" s="53" t="n">
        <x:v>296381.51282647</x:v>
      </x:c>
      <x:c r="H30" s="52" t="n">
        <x:v>232.80683053</x:v>
      </x:c>
      <x:c r="I30" s="52" t="n">
        <x:v>38374.51777465</x:v>
      </x:c>
      <x:c r="J30" s="53" t="n">
        <x:f>D30+E30+F30</x:f>
        <x:v>296381.51282648</x:v>
      </x:c>
      <x:c r="K30" s="53" t="n">
        <x:f>J30/C30</x:f>
        <x:v>80.56056414143906</x:v>
      </x:c>
      <x:c r="L30" s="52" t="n">
        <x:f>$J$29-J30</x:f>
        <x:v>38374.51777464006</x:v>
      </x:c>
      <x:c r="M30" s="60" t="n">
        <x:f>J30-G30</x:f>
        <x:v>9.953510016202927e-9</x:v>
      </x:c>
      <x:c r="N30" s="60" t="n">
        <x:f>L30-I30</x:f>
        <x:v>-9.93895810097456e-9</x:v>
      </x:c>
    </x:row>
    <x:row r="31">
      <x:c r="A31" t="str">
        <x:v>2024-10</x:v>
      </x:c>
      <x:c r="B31" t="str">
        <x:v>GRANULAR</x:v>
      </x:c>
      <x:c r="C31" s="51" t="n">
        <x:v>3678.99003669</x:v>
      </x:c>
      <x:c r="D31" s="52" t="n">
        <x:v>430906.67873442</x:v>
      </x:c>
      <x:c r="E31" s="52" t="n">
        <x:v>-34046.98272152</x:v>
      </x:c>
      <x:c r="F31" s="52" t="n">
        <x:v>8404.65849482</x:v>
      </x:c>
      <x:c r="G31" s="53" t="n">
        <x:v>405264.35450772</x:v>
      </x:c>
      <x:c r="H31" s="52" t="n">
        <x:v>232.80683053</x:v>
      </x:c>
      <x:c r="I31" s="52" t="n">
        <x:v>-70508.3239066</x:v>
      </x:c>
      <x:c r="J31" s="53" t="n">
        <x:f>D31+E31+F31</x:f>
        <x:v>405264.35450772</x:v>
      </x:c>
      <x:c r="K31" s="53" t="n">
        <x:f>J31/C31</x:f>
        <x:v>110.15641533847091</x:v>
      </x:c>
      <x:c r="L31" s="52" t="n">
        <x:f>$J$29-J31</x:f>
        <x:v>-70508.32390659995</x:v>
      </x:c>
      <x:c r="M31" s="60" t="n">
        <x:f>J31-G31</x:f>
        <x:v>0</x:v>
      </x:c>
      <x:c r="N31" s="60" t="n">
        <x:f>L31-I31</x:f>
        <x:v>4.3655745685100555e-11</x:v>
      </x:c>
    </x:row>
    <x:row r="32">
      <x:c r="A32" t="str">
        <x:v>2024-11</x:v>
      </x:c>
      <x:c r="B32" t="str">
        <x:v>UNHEDGED</x:v>
      </x:c>
      <x:c r="C32" s="51" t="n">
        <x:v>3735.99938926</x:v>
      </x:c>
      <x:c r="D32" s="52" t="n">
        <x:v>0</x:v>
      </x:c>
      <x:c r="E32" s="52" t="n">
        <x:v>451681.66318285</x:v>
      </x:c>
      <x:c r="F32" s="52" t="n">
        <x:v>3047.44576972</x:v>
      </x:c>
      <x:c r="G32" s="53" t="n">
        <x:v>454729.10895257</x:v>
      </x:c>
      <x:c r="H32" s="52" t="n">
        <x:v>881.25258403</x:v>
      </x:c>
      <x:c r="I32" s="52" t="n">
        <x:v>0</x:v>
      </x:c>
      <x:c r="J32" s="53" t="n">
        <x:f>D32+E32+F32</x:f>
        <x:v>454729.10895257</x:v>
      </x:c>
      <x:c r="K32" s="53" t="n">
        <x:f>J32/C32</x:f>
        <x:v>121.71552015233051</x:v>
      </x:c>
      <x:c r="L32" s="52" t="n">
        <x:f>$J$32-J32</x:f>
        <x:v>0</x:v>
      </x:c>
      <x:c r="M32" s="60" t="n">
        <x:f>J32-G32</x:f>
        <x:v>0</x:v>
      </x:c>
      <x:c r="N32" s="60" t="n">
        <x:f>L32-I32</x:f>
        <x:v>0</x:v>
      </x:c>
    </x:row>
    <x:row r="33">
      <x:c r="A33" t="str">
        <x:v>2024-11</x:v>
      </x:c>
      <x:c r="B33" t="str">
        <x:v>COARSE_CAL</x:v>
      </x:c>
      <x:c r="C33" s="51" t="n">
        <x:v>3735.99938926</x:v>
      </x:c>
      <x:c r="D33" s="52" t="n">
        <x:v>285437.99127972</x:v>
      </x:c>
      <x:c r="E33" s="52" t="n">
        <x:v>20731.70661706</x:v>
      </x:c>
      <x:c r="F33" s="52" t="n">
        <x:v>3047.44576972</x:v>
      </x:c>
      <x:c r="G33" s="53" t="n">
        <x:v>309217.1436665</x:v>
      </x:c>
      <x:c r="H33" s="52" t="n">
        <x:v>881.25258403</x:v>
      </x:c>
      <x:c r="I33" s="52" t="n">
        <x:v>145511.96528607</x:v>
      </x:c>
      <x:c r="J33" s="53" t="n">
        <x:f>D33+E33+F33</x:f>
        <x:v>309217.1436665</x:v>
      </x:c>
      <x:c r="K33" s="53" t="n">
        <x:f>J33/C33</x:f>
        <x:v>82.76691493992655</x:v>
      </x:c>
      <x:c r="L33" s="52" t="n">
        <x:f>$J$32-J33</x:f>
        <x:v>145511.96528607002</x:v>
      </x:c>
      <x:c r="M33" s="60" t="n">
        <x:f>J33-G33</x:f>
        <x:v>0</x:v>
      </x:c>
      <x:c r="N33" s="60" t="n">
        <x:f>L33-I33</x:f>
        <x:v>2.9103830456733704e-11</x:v>
      </x:c>
    </x:row>
    <x:row r="34">
      <x:c r="A34" t="str">
        <x:v>2024-11</x:v>
      </x:c>
      <x:c r="B34" t="str">
        <x:v>GRANULAR</x:v>
      </x:c>
      <x:c r="C34" s="51" t="n">
        <x:v>3735.99938926</x:v>
      </x:c>
      <x:c r="D34" s="52" t="n">
        <x:v>412217.38213155</x:v>
      </x:c>
      <x:c r="E34" s="52" t="n">
        <x:v>-10334.43979691</x:v>
      </x:c>
      <x:c r="F34" s="52" t="n">
        <x:v>3047.44576972</x:v>
      </x:c>
      <x:c r="G34" s="53" t="n">
        <x:v>404930.38810437</x:v>
      </x:c>
      <x:c r="H34" s="52" t="n">
        <x:v>881.25258403</x:v>
      </x:c>
      <x:c r="I34" s="52" t="n">
        <x:v>49798.7208482</x:v>
      </x:c>
      <x:c r="J34" s="53" t="n">
        <x:f>D34+E34+F34</x:f>
        <x:v>404930.38810436</x:v>
      </x:c>
      <x:c r="K34" s="53" t="n">
        <x:f>J34/C34</x:f>
        <x:v>108.38609590473347</x:v>
      </x:c>
      <x:c r="L34" s="52" t="n">
        <x:f>$J$32-J34</x:f>
        <x:v>49798.72084820998</x:v>
      </x:c>
      <x:c r="M34" s="60" t="n">
        <x:f>J34-G34</x:f>
        <x:v>-9.953510016202927e-9</x:v>
      </x:c>
      <x:c r="N34" s="60" t="n">
        <x:f>L34-I34</x:f>
        <x:v>9.98261384665966e-9</x:v>
      </x:c>
    </x:row>
    <x:row r="35">
      <x:c r="A35" t="str">
        <x:v>2024-12</x:v>
      </x:c>
      <x:c r="B35" t="str">
        <x:v>UNHEDGED</x:v>
      </x:c>
      <x:c r="C35" s="51" t="n">
        <x:v>4125.07390819</x:v>
      </x:c>
      <x:c r="D35" s="52" t="n">
        <x:v>0</x:v>
      </x:c>
      <x:c r="E35" s="52" t="n">
        <x:v>489514.935269</x:v>
      </x:c>
      <x:c r="F35" s="52" t="n">
        <x:v>2865.21044047</x:v>
      </x:c>
      <x:c r="G35" s="53" t="n">
        <x:v>492380.14570947</x:v>
      </x:c>
      <x:c r="H35" s="52" t="n">
        <x:v>2706.64165248</x:v>
      </x:c>
      <x:c r="I35" s="52" t="n">
        <x:v>0</x:v>
      </x:c>
      <x:c r="J35" s="53" t="n">
        <x:f>D35+E35+F35</x:f>
        <x:v>492380.14570947003</x:v>
      </x:c>
      <x:c r="K35" s="53" t="n">
        <x:f>J35/C35</x:f>
        <x:v>119.36274516970208</x:v>
      </x:c>
      <x:c r="L35" s="52" t="n">
        <x:f>$J$35-J35</x:f>
        <x:v>0</x:v>
      </x:c>
      <x:c r="M35" s="60" t="n">
        <x:f>J35-G35</x:f>
        <x:v>5.820766091346741e-11</x:v>
      </x:c>
      <x:c r="N35" s="60" t="n">
        <x:f>L35-I35</x:f>
        <x:v>0</x:v>
      </x:c>
    </x:row>
    <x:row r="36">
      <x:c r="A36" t="str">
        <x:v>2024-12</x:v>
      </x:c>
      <x:c r="B36" t="str">
        <x:v>COARSE_CAL</x:v>
      </x:c>
      <x:c r="C36" s="51" t="n">
        <x:v>4125.07390819</x:v>
      </x:c>
      <x:c r="D36" s="52" t="n">
        <x:v>295540.08613549</x:v>
      </x:c>
      <x:c r="E36" s="52" t="n">
        <x:v>58345.09477696</x:v>
      </x:c>
      <x:c r="F36" s="52" t="n">
        <x:v>2865.21044047</x:v>
      </x:c>
      <x:c r="G36" s="53" t="n">
        <x:v>356750.39135292</x:v>
      </x:c>
      <x:c r="H36" s="52" t="n">
        <x:v>2706.64165248</x:v>
      </x:c>
      <x:c r="I36" s="52" t="n">
        <x:v>135629.75435654</x:v>
      </x:c>
      <x:c r="J36" s="53" t="n">
        <x:f>D36+E36+F36</x:f>
        <x:v>356750.39135292</x:v>
      </x:c>
      <x:c r="K36" s="53" t="n">
        <x:f>J36/C36</x:f>
        <x:v>86.48339382347089</x:v>
      </x:c>
      <x:c r="L36" s="52" t="n">
        <x:f>$J$35-J36</x:f>
        <x:v>135629.75435655005</x:v>
      </x:c>
      <x:c r="M36" s="60" t="n">
        <x:f>J36-G36</x:f>
        <x:v>0</x:v>
      </x:c>
      <x:c r="N36" s="60" t="n">
        <x:f>L36-I36</x:f>
        <x:v>1.0040821507573128e-8</x:v>
      </x:c>
    </x:row>
    <x:row r="37">
      <x:c r="A37" t="str">
        <x:v>2024-12</x:v>
      </x:c>
      <x:c r="B37" t="str">
        <x:v>GRANULAR</x:v>
      </x:c>
      <x:c r="C37" s="51" t="n">
        <x:v>4125.07390819</x:v>
      </x:c>
      <x:c r="D37" s="52" t="n">
        <x:v>426991.03006078</x:v>
      </x:c>
      <x:c r="E37" s="52" t="n">
        <x:v>26794.35532922</x:v>
      </x:c>
      <x:c r="F37" s="52" t="n">
        <x:v>2865.21044047</x:v>
      </x:c>
      <x:c r="G37" s="53" t="n">
        <x:v>456650.59583047</x:v>
      </x:c>
      <x:c r="H37" s="52" t="n">
        <x:v>2706.64165248</x:v>
      </x:c>
      <x:c r="I37" s="52" t="n">
        <x:v>35729.549879</x:v>
      </x:c>
      <x:c r="J37" s="53" t="n">
        <x:f>D37+E37+F37</x:f>
        <x:v>456650.59583047003</x:v>
      </x:c>
      <x:c r="K37" s="53" t="n">
        <x:f>J37/C37</x:f>
        <x:v>110.70119129837342</x:v>
      </x:c>
      <x:c r="L37" s="52" t="n">
        <x:f>$J$35-J37</x:f>
        <x:v>35729.549879</x:v>
      </x:c>
      <x:c r="M37" s="60" t="n">
        <x:f>J37-G37</x:f>
        <x:v>5.820766091346741e-11</x:v>
      </x:c>
      <x:c r="N37" s="60" t="n">
        <x:f>L37-I37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2d91a096c242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9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  <x:col min="9" max="9" width="18" hidden="0" customWidth="1"/>
    <x:col min="10" max="10" width="18" hidden="0" customWidth="1"/>
  </x:cols>
  <x:sheetData>
    <x:row r="1" ht="32" customHeight="1">
      <x:c r="A1" s="4" t="str">
        <x:v>Profile</x:v>
      </x:c>
      <x:c r="B1" s="4" t="str">
        <x:v>Forecast MWh</x:v>
      </x:c>
      <x:c r="C1" s="4" t="str">
        <x:v>Actual MWh source</x:v>
      </x:c>
      <x:c r="D1" s="4" t="str">
        <x:v>Annual bias assumption</x:v>
      </x:c>
      <x:c r="E1" s="4" t="str">
        <x:v>Profile NMAE</x:v>
      </x:c>
      <x:c r="F1" s="4" t="str">
        <x:v>Minimum factor</x:v>
      </x:c>
      <x:c r="G1" s="4" t="str">
        <x:v>Maximum factor</x:v>
      </x:c>
      <x:c r="H1" s="4" t="str">
        <x:v>Clipped QH</x:v>
      </x:c>
      <x:c r="I1" s="58" t="str">
        <x:v>Actual formula</x:v>
      </x:c>
      <x:c r="J1" s="58" t="str">
        <x:v>Source tie</x:v>
      </x:c>
    </x:row>
    <x:row r="2">
      <x:c r="A2" t="str">
        <x:v>HB</x:v>
      </x:c>
      <x:c r="B2" s="51" t="n">
        <x:v>35000</x:v>
      </x:c>
      <x:c r="C2" s="51" t="n">
        <x:v>35140</x:v>
      </x:c>
      <x:c r="D2" s="61" t="n">
        <x:v>0.004</x:v>
      </x:c>
      <x:c r="E2" s="61" t="n">
        <x:v>0.0196271</x:v>
      </x:c>
      <x:c r="F2" s="62" t="n">
        <x:v>0.92681816</x:v>
      </x:c>
      <x:c r="G2" s="62" t="n">
        <x:v>1.07664067</x:v>
      </x:c>
      <x:c r="H2" s="63" t="n">
        <x:v>0</x:v>
      </x:c>
      <x:c r="I2" s="51" t="n">
        <x:f>B2*(1+D2)</x:f>
        <x:v>35140</x:v>
      </x:c>
      <x:c r="J2" s="64" t="n">
        <x:f>I2-C2</x:f>
        <x:v>0</x:v>
      </x:c>
    </x:row>
    <x:row r="3">
      <x:c r="A3" t="str">
        <x:v>GB</x:v>
      </x:c>
      <x:c r="B3" s="51" t="n">
        <x:v>6000</x:v>
      </x:c>
      <x:c r="C3" s="51" t="n">
        <x:v>5982</x:v>
      </x:c>
      <x:c r="D3" s="61" t="n">
        <x:v>-0.003</x:v>
      </x:c>
      <x:c r="E3" s="61" t="n">
        <x:v>0.02771011</x:v>
      </x:c>
      <x:c r="F3" s="62" t="n">
        <x:v>0.87301334</x:v>
      </x:c>
      <x:c r="G3" s="62" t="n">
        <x:v>1.11638793</x:v>
      </x:c>
      <x:c r="H3" s="63" t="n">
        <x:v>0</x:v>
      </x:c>
      <x:c r="I3" s="51" t="n">
        <x:f>B3*(1+D3)</x:f>
        <x:v>5982</x:v>
      </x:c>
      <x:c r="J3" s="64" t="n">
        <x:f>I3-C3</x:f>
        <x:v>0</x:v>
      </x:c>
    </x:row>
    <x:row r="4">
      <x:c r="A4" t="str">
        <x:v>LB</x:v>
      </x:c>
      <x:c r="B4" s="51" t="n">
        <x:v>2000</x:v>
      </x:c>
      <x:c r="C4" s="51" t="n">
        <x:v>2016</x:v>
      </x:c>
      <x:c r="D4" s="61" t="n">
        <x:v>0.008</x:v>
      </x:c>
      <x:c r="E4" s="61" t="n">
        <x:v>0.04039811</x:v>
      </x:c>
      <x:c r="F4" s="62" t="n">
        <x:v>0.80934246</x:v>
      </x:c>
      <x:c r="G4" s="62" t="n">
        <x:v>1.2091628</x:v>
      </x:c>
      <x:c r="H4" s="63" t="n">
        <x:v>0</x:v>
      </x:c>
      <x:c r="I4" s="51" t="n">
        <x:f>B4*(1+D4)</x:f>
        <x:v>2016</x:v>
      </x:c>
      <x:c r="J4" s="64" t="n">
        <x:f>I4-C4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ee0aa0c50044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17" hidden="0" customWidth="1"/>
    <x:col min="4" max="4" width="19" hidden="0" customWidth="1"/>
    <x:col min="5" max="5" width="21" hidden="0" customWidth="1"/>
    <x:col min="6" max="6" width="22" hidden="0" customWidth="1"/>
    <x:col min="7" max="7" width="19" hidden="0" customWidth="1"/>
    <x:col min="8" max="8" width="22" hidden="0" customWidth="1"/>
    <x:col min="9" max="9" width="17" hidden="0" customWidth="1"/>
    <x:col min="10" max="10" width="17" hidden="0" customWidth="1"/>
    <x:col min="11" max="11" width="14" hidden="0" customWidth="1"/>
  </x:cols>
  <x:sheetData>
    <x:row r="1" ht="32" customHeight="1">
      <x:c r="A1" s="4" t="str">
        <x:v>Seed</x:v>
      </x:c>
      <x:c r="B1" s="4" t="str">
        <x:v>Selection score</x:v>
      </x:c>
      <x:c r="C1" s="4" t="str">
        <x:v>Portfolio NMAE</x:v>
      </x:c>
      <x:c r="D1" s="4" t="str">
        <x:v>Premium EUR/MWh</x:v>
      </x:c>
      <x:c r="E1" s="4" t="str">
        <x:v>Settlement EUR/MWh</x:v>
      </x:c>
      <x:c r="F1" s="4" t="str">
        <x:v>Unhedged monthly std</x:v>
      </x:c>
      <x:c r="G1" s="4" t="str">
        <x:v>CAL monthly std</x:v>
      </x:c>
      <x:c r="H1" s="4" t="str">
        <x:v>Granular monthly std</x:v>
      </x:c>
      <x:c r="I1" s="4" t="str">
        <x:v>Minimum factor</x:v>
      </x:c>
      <x:c r="J1" s="4" t="str">
        <x:v>Maximum factor</x:v>
      </x:c>
      <x:c r="K1" s="4" t="str">
        <x:v>Clipped QH</x:v>
      </x:c>
    </x:row>
    <x:row r="2">
      <x:c r="A2" s="65" t="n">
        <x:v>173</x:v>
      </x:c>
      <x:c r="B2" s="5" t="n">
        <x:v>0.16522114</x:v>
      </x:c>
      <x:c r="C2" s="61" t="n">
        <x:v>0.01967364</x:v>
      </x:c>
      <x:c r="D2" s="66" t="n">
        <x:v>0.31501794</x:v>
      </x:c>
      <x:c r="E2" s="66" t="n">
        <x:v>0.70712225</x:v>
      </x:c>
      <x:c r="F2" s="66" t="n">
        <x:v>20.15327243</x:v>
      </x:c>
      <x:c r="G2" s="66" t="n">
        <x:v>2.43238212</x:v>
      </x:c>
      <x:c r="H2" s="66" t="n">
        <x:v>18.56308745</x:v>
      </x:c>
      <x:c r="I2" s="62" t="n">
        <x:v>0.80934246</x:v>
      </x:c>
      <x:c r="J2" s="62" t="n">
        <x:v>1.2091628</x:v>
      </x:c>
      <x:c r="K2" s="65" t="n">
        <x:v>0</x:v>
      </x:c>
    </x:row>
    <x:row r="3">
      <x:c r="A3" s="65" t="n">
        <x:v>398</x:v>
      </x:c>
      <x:c r="B3" s="5" t="n">
        <x:v>0.19628931</x:v>
      </x:c>
      <x:c r="C3" s="61" t="n">
        <x:v>0.01982377</x:v>
      </x:c>
      <x:c r="D3" s="66" t="n">
        <x:v>0.2936345</x:v>
      </x:c>
      <x:c r="E3" s="66" t="n">
        <x:v>0.48369059</x:v>
      </x:c>
      <x:c r="F3" s="66" t="n">
        <x:v>19.95998142</x:v>
      </x:c>
      <x:c r="G3" s="66" t="n">
        <x:v>2.0692812</x:v>
      </x:c>
      <x:c r="H3" s="66" t="n">
        <x:v>18.41617004</x:v>
      </x:c>
      <x:c r="I3" s="62" t="n">
        <x:v>0.81635607</x:v>
      </x:c>
      <x:c r="J3" s="62" t="n">
        <x:v>1.20933977</x:v>
      </x:c>
      <x:c r="K3" s="65" t="n">
        <x:v>0</x:v>
      </x:c>
    </x:row>
    <x:row r="4">
      <x:c r="A4" s="65" t="n">
        <x:v>391</x:v>
      </x:c>
      <x:c r="B4" s="5" t="n">
        <x:v>0.27769186</x:v>
      </x:c>
      <x:c r="C4" s="61" t="n">
        <x:v>0.01913031</x:v>
      </x:c>
      <x:c r="D4" s="66" t="n">
        <x:v>0.31368613</x:v>
      </x:c>
      <x:c r="E4" s="66" t="n">
        <x:v>0.37861967</x:v>
      </x:c>
      <x:c r="F4" s="66" t="n">
        <x:v>19.80338049</x:v>
      </x:c>
      <x:c r="G4" s="66" t="n">
        <x:v>1.77347157</x:v>
      </x:c>
      <x:c r="H4" s="66" t="n">
        <x:v>18.21391107</x:v>
      </x:c>
      <x:c r="I4" s="62" t="n">
        <x:v>0.79468672</x:v>
      </x:c>
      <x:c r="J4" s="62" t="n">
        <x:v>1.19675656</x:v>
      </x:c>
      <x:c r="K4" s="65" t="n">
        <x:v>0</x:v>
      </x:c>
    </x:row>
    <x:row r="5">
      <x:c r="A5" s="65" t="n">
        <x:v>481</x:v>
      </x:c>
      <x:c r="B5" s="5" t="n">
        <x:v>0.29252146</x:v>
      </x:c>
      <x:c r="C5" s="61" t="n">
        <x:v>0.01923029</x:v>
      </x:c>
      <x:c r="D5" s="66" t="n">
        <x:v>0.30149708</x:v>
      </x:c>
      <x:c r="E5" s="66" t="n">
        <x:v>0.73609706</x:v>
      </x:c>
      <x:c r="F5" s="66" t="n">
        <x:v>19.94264762</x:v>
      </x:c>
      <x:c r="G5" s="66" t="n">
        <x:v>2.26621352</x:v>
      </x:c>
      <x:c r="H5" s="66" t="n">
        <x:v>18.49218376</x:v>
      </x:c>
      <x:c r="I5" s="62" t="n">
        <x:v>0.79966642</x:v>
      </x:c>
      <x:c r="J5" s="62" t="n">
        <x:v>1.19237346</x:v>
      </x:c>
      <x:c r="K5" s="65" t="n">
        <x:v>0</x:v>
      </x:c>
    </x:row>
    <x:row r="6">
      <x:c r="A6" s="65" t="n">
        <x:v>149</x:v>
      </x:c>
      <x:c r="B6" s="5" t="n">
        <x:v>0.29703123</x:v>
      </x:c>
      <x:c r="C6" s="61" t="n">
        <x:v>0.01872654</x:v>
      </x:c>
      <x:c r="D6" s="66" t="n">
        <x:v>0.36481903</x:v>
      </x:c>
      <x:c r="E6" s="66" t="n">
        <x:v>0.64947373</x:v>
      </x:c>
      <x:c r="F6" s="66" t="n">
        <x:v>19.75704075</x:v>
      </x:c>
      <x:c r="G6" s="66" t="n">
        <x:v>2.1241904</x:v>
      </x:c>
      <x:c r="H6" s="66" t="n">
        <x:v>18.22695713</x:v>
      </x:c>
      <x:c r="I6" s="62" t="n">
        <x:v>0.78912267</x:v>
      </x:c>
      <x:c r="J6" s="62" t="n">
        <x:v>1.19891192</x:v>
      </x:c>
      <x:c r="K6" s="65" t="n">
        <x:v>0</x:v>
      </x:c>
    </x:row>
    <x:row r="7">
      <x:c r="A7" s="65" t="n">
        <x:v>153</x:v>
      </x:c>
      <x:c r="B7" s="5" t="n">
        <x:v>0.30035037</x:v>
      </x:c>
      <x:c r="C7" s="61" t="n">
        <x:v>0.01940213</x:v>
      </x:c>
      <x:c r="D7" s="66" t="n">
        <x:v>0.28672814</x:v>
      </x:c>
      <x:c r="E7" s="66" t="n">
        <x:v>0.71500601</x:v>
      </x:c>
      <x:c r="F7" s="66" t="n">
        <x:v>20.07356874</x:v>
      </x:c>
      <x:c r="G7" s="66" t="n">
        <x:v>2.32205488</x:v>
      </x:c>
      <x:c r="H7" s="66" t="n">
        <x:v>18.56202751</x:v>
      </x:c>
      <x:c r="I7" s="62" t="n">
        <x:v>0.82265225</x:v>
      </x:c>
      <x:c r="J7" s="62" t="n">
        <x:v>1.22732923</x:v>
      </x:c>
      <x:c r="K7" s="65" t="n">
        <x:v>0</x:v>
      </x:c>
    </x:row>
    <x:row r="8">
      <x:c r="A8" s="65" t="n">
        <x:v>493</x:v>
      </x:c>
      <x:c r="B8" s="5" t="n">
        <x:v>0.3210742</x:v>
      </x:c>
      <x:c r="C8" s="61" t="n">
        <x:v>0.01962822</x:v>
      </x:c>
      <x:c r="D8" s="66" t="n">
        <x:v>0.26364898</x:v>
      </x:c>
      <x:c r="E8" s="66" t="n">
        <x:v>0.61407085</x:v>
      </x:c>
      <x:c r="F8" s="66" t="n">
        <x:v>19.78772935</x:v>
      </x:c>
      <x:c r="G8" s="66" t="n">
        <x:v>2.20980092</x:v>
      </x:c>
      <x:c r="H8" s="66" t="n">
        <x:v>18.39495394</x:v>
      </x:c>
      <x:c r="I8" s="62" t="n">
        <x:v>0.80131401</x:v>
      </x:c>
      <x:c r="J8" s="62" t="n">
        <x:v>1.22255768</x:v>
      </x:c>
      <x:c r="K8" s="65" t="n">
        <x:v>0</x:v>
      </x:c>
    </x:row>
    <x:row r="9">
      <x:c r="A9" s="65" t="n">
        <x:v>110</x:v>
      </x:c>
      <x:c r="B9" s="5" t="n">
        <x:v>0.32652766</x:v>
      </x:c>
      <x:c r="C9" s="61" t="n">
        <x:v>0.01893976</x:v>
      </x:c>
      <x:c r="D9" s="66" t="n">
        <x:v>0.30993231</x:v>
      </x:c>
      <x:c r="E9" s="66" t="n">
        <x:v>0.61337247</x:v>
      </x:c>
      <x:c r="F9" s="66" t="n">
        <x:v>20.23968288</x:v>
      </x:c>
      <x:c r="G9" s="66" t="n">
        <x:v>2.4954798</x:v>
      </x:c>
      <x:c r="H9" s="66" t="n">
        <x:v>18.73256376</x:v>
      </x:c>
      <x:c r="I9" s="62" t="n">
        <x:v>0.79422431</x:v>
      </x:c>
      <x:c r="J9" s="62" t="n">
        <x:v>1.19999193</x:v>
      </x:c>
      <x:c r="K9" s="65" t="n">
        <x:v>0</x:v>
      </x:c>
    </x:row>
    <x:row r="10">
      <x:c r="A10" s="65" t="n">
        <x:v>311</x:v>
      </x:c>
      <x:c r="B10" s="5" t="n">
        <x:v>0.36287786</x:v>
      </x:c>
      <x:c r="C10" s="61" t="n">
        <x:v>0.01976289</x:v>
      </x:c>
      <x:c r="D10" s="66" t="n">
        <x:v>0.23959062</x:v>
      </x:c>
      <x:c r="E10" s="66" t="n">
        <x:v>0.54370122</x:v>
      </x:c>
      <x:c r="F10" s="66" t="n">
        <x:v>20.15126065</x:v>
      </x:c>
      <x:c r="G10" s="66" t="n">
        <x:v>2.6094283</x:v>
      </x:c>
      <x:c r="H10" s="66" t="n">
        <x:v>18.72987421</x:v>
      </x:c>
      <x:c r="I10" s="62" t="n">
        <x:v>0.81321347</x:v>
      </x:c>
      <x:c r="J10" s="62" t="n">
        <x:v>1.24863562</x:v>
      </x:c>
      <x:c r="K10" s="65" t="n">
        <x:v>0</x:v>
      </x:c>
    </x:row>
    <x:row r="11">
      <x:c r="A11" s="65" t="n">
        <x:v>215</x:v>
      </x:c>
      <x:c r="B11" s="5" t="n">
        <x:v>0.36455585</x:v>
      </x:c>
      <x:c r="C11" s="61" t="n">
        <x:v>0.01928933</x:v>
      </x:c>
      <x:c r="D11" s="66" t="n">
        <x:v>0.27215223</x:v>
      </x:c>
      <x:c r="E11" s="66" t="n">
        <x:v>0.63575665</x:v>
      </x:c>
      <x:c r="F11" s="66" t="n">
        <x:v>20.03713865</x:v>
      </x:c>
      <x:c r="G11" s="66" t="n">
        <x:v>2.40776608</x:v>
      </x:c>
      <x:c r="H11" s="66" t="n">
        <x:v>18.48809084</x:v>
      </x:c>
      <x:c r="I11" s="62" t="n">
        <x:v>0.81145132</x:v>
      </x:c>
      <x:c r="J11" s="62" t="n">
        <x:v>1.19417156</x:v>
      </x:c>
      <x:c r="K11" s="65" t="n">
        <x:v>0</x:v>
      </x:c>
    </x:row>
    <x:row r="12">
      <x:c r="A12" s="65" t="n">
        <x:v>36</x:v>
      </x:c>
      <x:c r="B12" s="5" t="n">
        <x:v>0.38699884</x:v>
      </x:c>
      <x:c r="C12" s="61" t="n">
        <x:v>0.01897374</x:v>
      </x:c>
      <x:c r="D12" s="66" t="n">
        <x:v>0.28638855</x:v>
      </x:c>
      <x:c r="E12" s="66" t="n">
        <x:v>0.66767553</x:v>
      </x:c>
      <x:c r="F12" s="66" t="n">
        <x:v>20.28072371</x:v>
      </x:c>
      <x:c r="G12" s="66" t="n">
        <x:v>2.71483793</x:v>
      </x:c>
      <x:c r="H12" s="66" t="n">
        <x:v>18.74739361</x:v>
      </x:c>
      <x:c r="I12" s="62" t="n">
        <x:v>0.80308959</x:v>
      </x:c>
      <x:c r="J12" s="62" t="n">
        <x:v>1.22307517</x:v>
      </x:c>
      <x:c r="K12" s="65" t="n">
        <x:v>0</x:v>
      </x:c>
    </x:row>
    <x:row r="13">
      <x:c r="A13" s="65" t="n">
        <x:v>25</x:v>
      </x:c>
      <x:c r="B13" s="5" t="n">
        <x:v>0.40056285</x:v>
      </x:c>
      <x:c r="C13" s="61" t="n">
        <x:v>0.01952585</x:v>
      </x:c>
      <x:c r="D13" s="66" t="n">
        <x:v>0.2429933</x:v>
      </x:c>
      <x:c r="E13" s="66" t="n">
        <x:v>0.51635766</x:v>
      </x:c>
      <x:c r="F13" s="66" t="n">
        <x:v>20.0950682</x:v>
      </x:c>
      <x:c r="G13" s="66" t="n">
        <x:v>2.37916412</x:v>
      </x:c>
      <x:c r="H13" s="66" t="n">
        <x:v>18.67092957</x:v>
      </x:c>
      <x:c r="I13" s="62" t="n">
        <x:v>0.78492115</x:v>
      </x:c>
      <x:c r="J13" s="62" t="n">
        <x:v>1.21011822</x:v>
      </x:c>
      <x:c r="K13" s="65" t="n">
        <x:v>0</x:v>
      </x:c>
    </x:row>
    <x:row r="14">
      <x:c r="A14" s="65" t="n">
        <x:v>438</x:v>
      </x:c>
      <x:c r="B14" s="5" t="n">
        <x:v>0.40385718</x:v>
      </x:c>
      <x:c r="C14" s="61" t="n">
        <x:v>0.01947778</x:v>
      </x:c>
      <x:c r="D14" s="66" t="n">
        <x:v>0.24520541</x:v>
      </x:c>
      <x:c r="E14" s="66" t="n">
        <x:v>0.45214471</x:v>
      </x:c>
      <x:c r="F14" s="66" t="n">
        <x:v>19.8270525</x:v>
      </x:c>
      <x:c r="G14" s="66" t="n">
        <x:v>2.10756516</x:v>
      </x:c>
      <x:c r="H14" s="66" t="n">
        <x:v>18.33422492</x:v>
      </x:c>
      <x:c r="I14" s="62" t="n">
        <x:v>0.80461043</x:v>
      </x:c>
      <x:c r="J14" s="62" t="n">
        <x:v>1.20301355</x:v>
      </x:c>
      <x:c r="K14" s="65" t="n">
        <x:v>0</x:v>
      </x:c>
    </x:row>
    <x:row r="15">
      <x:c r="A15" s="65" t="n">
        <x:v>90</x:v>
      </x:c>
      <x:c r="B15" s="5" t="n">
        <x:v>0.41882928</x:v>
      </x:c>
      <x:c r="C15" s="61" t="n">
        <x:v>0.01947498</x:v>
      </x:c>
      <x:c r="D15" s="66" t="n">
        <x:v>0.2401611</x:v>
      </x:c>
      <x:c r="E15" s="66" t="n">
        <x:v>0.46700454</x:v>
      </x:c>
      <x:c r="F15" s="66" t="n">
        <x:v>19.8741301</x:v>
      </x:c>
      <x:c r="G15" s="66" t="n">
        <x:v>2.1749146</x:v>
      </x:c>
      <x:c r="H15" s="66" t="n">
        <x:v>18.51752963</x:v>
      </x:c>
      <x:c r="I15" s="62" t="n">
        <x:v>0.81948334</x:v>
      </x:c>
      <x:c r="J15" s="62" t="n">
        <x:v>1.20806629</x:v>
      </x:c>
      <x:c r="K15" s="65" t="n">
        <x:v>0</x:v>
      </x:c>
    </x:row>
    <x:row r="16">
      <x:c r="A16" s="65" t="n">
        <x:v>21</x:v>
      </x:c>
      <x:c r="B16" s="5" t="n">
        <x:v>0.4263821</x:v>
      </x:c>
      <x:c r="C16" s="61" t="n">
        <x:v>0.01916797</x:v>
      </x:c>
      <x:c r="D16" s="66" t="n">
        <x:v>0.25900802</x:v>
      </x:c>
      <x:c r="E16" s="66" t="n">
        <x:v>0.72612914</x:v>
      </x:c>
      <x:c r="F16" s="66" t="n">
        <x:v>20.11545655</x:v>
      </x:c>
      <x:c r="G16" s="66" t="n">
        <x:v>2.63428624</x:v>
      </x:c>
      <x:c r="H16" s="66" t="n">
        <x:v>18.76444756</x:v>
      </x:c>
      <x:c r="I16" s="62" t="n">
        <x:v>0.80285439</x:v>
      </x:c>
      <x:c r="J16" s="62" t="n">
        <x:v>1.22834048</x:v>
      </x:c>
      <x:c r="K16" s="65" t="n">
        <x:v>0</x:v>
      </x:c>
    </x:row>
    <x:row r="17">
      <x:c r="A17" s="65" t="n">
        <x:v>288</x:v>
      </x:c>
      <x:c r="B17" s="5" t="n">
        <x:v>0.42954143</x:v>
      </x:c>
      <x:c r="C17" s="61" t="n">
        <x:v>0.01893229</x:v>
      </x:c>
      <x:c r="D17" s="66" t="n">
        <x:v>0.27440048</x:v>
      </x:c>
      <x:c r="E17" s="66" t="n">
        <x:v>0.49271799</x:v>
      </x:c>
      <x:c r="F17" s="66" t="n">
        <x:v>19.84715645</x:v>
      </x:c>
      <x:c r="G17" s="66" t="n">
        <x:v>2.06901125</x:v>
      </x:c>
      <x:c r="H17" s="66" t="n">
        <x:v>18.36543085</x:v>
      </x:c>
      <x:c r="I17" s="62" t="n">
        <x:v>0.81706223</x:v>
      </x:c>
      <x:c r="J17" s="62" t="n">
        <x:v>1.20562839</x:v>
      </x:c>
      <x:c r="K17" s="65" t="n">
        <x:v>0</x:v>
      </x:c>
    </x:row>
    <x:row r="18">
      <x:c r="A18" s="65" t="n">
        <x:v>404</x:v>
      </x:c>
      <x:c r="B18" s="5" t="n">
        <x:v>0.4336313</x:v>
      </x:c>
      <x:c r="C18" s="61" t="n">
        <x:v>0.01876065</x:v>
      </x:c>
      <x:c r="D18" s="66" t="n">
        <x:v>0.28498357</x:v>
      </x:c>
      <x:c r="E18" s="66" t="n">
        <x:v>0.51502432</x:v>
      </x:c>
      <x:c r="F18" s="66" t="n">
        <x:v>19.93013331</x:v>
      </x:c>
      <x:c r="G18" s="66" t="n">
        <x:v>2.06521532</x:v>
      </x:c>
      <x:c r="H18" s="66" t="n">
        <x:v>18.47290087</x:v>
      </x:c>
      <x:c r="I18" s="62" t="n">
        <x:v>0.81111723</x:v>
      </x:c>
      <x:c r="J18" s="62" t="n">
        <x:v>1.21263912</x:v>
      </x:c>
      <x:c r="K18" s="65" t="n">
        <x:v>0</x:v>
      </x:c>
    </x:row>
    <x:row r="19">
      <x:c r="A19" s="65" t="n">
        <x:v>118</x:v>
      </x:c>
      <x:c r="B19" s="5" t="n">
        <x:v>0.43854473</x:v>
      </x:c>
      <x:c r="C19" s="61" t="n">
        <x:v>0.01896203</x:v>
      </x:c>
      <x:c r="D19" s="66" t="n">
        <x:v>0.26916725</x:v>
      </x:c>
      <x:c r="E19" s="66" t="n">
        <x:v>0.56158949</x:v>
      </x:c>
      <x:c r="F19" s="66" t="n">
        <x:v>19.95073028</x:v>
      </x:c>
      <x:c r="G19" s="66" t="n">
        <x:v>2.19157427</x:v>
      </x:c>
      <x:c r="H19" s="66" t="n">
        <x:v>18.45409631</x:v>
      </x:c>
      <x:c r="I19" s="62" t="n">
        <x:v>0.83338807</x:v>
      </x:c>
      <x:c r="J19" s="62" t="n">
        <x:v>1.19832425</x:v>
      </x:c>
      <x:c r="K19" s="65" t="n">
        <x:v>0</x:v>
      </x:c>
    </x:row>
    <x:row r="20">
      <x:c r="A20" s="65" t="n">
        <x:v>293</x:v>
      </x:c>
      <x:c r="B20" s="5" t="n">
        <x:v>0.44521455</x:v>
      </x:c>
      <x:c r="C20" s="61" t="n">
        <x:v>0.01908732</x:v>
      </x:c>
      <x:c r="D20" s="66" t="n">
        <x:v>0.25806284</x:v>
      </x:c>
      <x:c r="E20" s="66" t="n">
        <x:v>0.65002913</x:v>
      </x:c>
      <x:c r="F20" s="66" t="n">
        <x:v>19.79157239</x:v>
      </x:c>
      <x:c r="G20" s="66" t="n">
        <x:v>2.29350588</x:v>
      </x:c>
      <x:c r="H20" s="66" t="n">
        <x:v>18.34591734</x:v>
      </x:c>
      <x:c r="I20" s="62" t="n">
        <x:v>0.81757361</x:v>
      </x:c>
      <x:c r="J20" s="62" t="n">
        <x:v>1.23101275</x:v>
      </x:c>
      <x:c r="K20" s="65" t="n">
        <x:v>0</x:v>
      </x:c>
    </x:row>
    <x:row r="21">
      <x:c r="A21" s="65" t="n">
        <x:v>56</x:v>
      </x:c>
      <x:c r="B21" s="5" t="n">
        <x:v>0.4529336</x:v>
      </x:c>
      <x:c r="C21" s="61" t="n">
        <x:v>0.01987819</x:v>
      </x:c>
      <x:c r="D21" s="66" t="n">
        <x:v>0.19999989</x:v>
      </x:c>
      <x:c r="E21" s="66" t="n">
        <x:v>0.63614804</x:v>
      </x:c>
      <x:c r="F21" s="66" t="n">
        <x:v>20.3468687</x:v>
      </x:c>
      <x:c r="G21" s="66" t="n">
        <x:v>2.57292288</x:v>
      </x:c>
      <x:c r="H21" s="66" t="n">
        <x:v>18.79932266</x:v>
      </x:c>
      <x:c r="I21" s="62" t="n">
        <x:v>0.81506929</x:v>
      </x:c>
      <x:c r="J21" s="62" t="n">
        <x:v>1.21497171</x:v>
      </x:c>
      <x:c r="K21" s="65" t="n">
        <x:v>0</x:v>
      </x:c>
    </x:row>
    <x:row r="23">
      <x:c r="A23" s="46" t="str">
        <x:v>The selected production seed is the lowest documented score among candidates 1–500. The score targets 2% portfolio NMAE and a moderate positive €0.35/MWh imbalance premium, while penalizing a hedge that does not reduce monthly procurement-price volatility.</x:v>
      </x:c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</x:row>
  </x:sheetData>
  <x:mergeCells>
    <x:mergeCell ref="A23:K26"/>
  </x:mergeCells>
  <x:pageMargins left="0.7" right="0.7" top="0.75" bottom="0.75" header="0.3" footer="0.3"/>
  <x:tableParts count="1">
    <x:tablePart xmlns:r="http://schemas.openxmlformats.org/officeDocument/2006/relationships" r:id="R162b2f1224f742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20" hidden="0" customWidth="1"/>
    <x:col min="3" max="3" width="18" hidden="0" customWidth="1"/>
    <x:col min="4" max="4" width="17" hidden="0" customWidth="1"/>
    <x:col min="5" max="5" width="16" hidden="0" customWidth="1"/>
    <x:col min="6" max="6" width="12" hidden="0" customWidth="1"/>
    <x:col min="7" max="7" width="72" hidden="0" customWidth="1"/>
  </x:cols>
  <x:sheetData>
    <x:row r="1" ht="32" customHeight="1">
      <x:c r="A1" s="4" t="str">
        <x:v>Check</x:v>
      </x:c>
      <x:c r="B1" s="4" t="str">
        <x:v>Actual</x:v>
      </x:c>
      <x:c r="C1" s="4" t="str">
        <x:v>Expected</x:v>
      </x:c>
      <x:c r="D1" s="4" t="str">
        <x:v>Difference</x:v>
      </x:c>
      <x:c r="E1" s="4" t="str">
        <x:v>Tolerance</x:v>
      </x:c>
      <x:c r="F1" s="4" t="str">
        <x:v>Status</x:v>
      </x:c>
      <x:c r="G1" s="4" t="str">
        <x:v>Notes</x:v>
      </x:c>
    </x:row>
    <x:row r="2">
      <x:c r="A2" s="6" t="str">
        <x:v>Locked seed matches metadata</x:v>
      </x:c>
      <x:c r="B2" s="64" t="n">
        <x:v>173</x:v>
      </x:c>
      <x:c r="C2" t="n">
        <x:v>173</x:v>
      </x:c>
      <x:c r="D2" s="64" t="n">
        <x:v>0</x:v>
      </x:c>
      <x:c r="E2" s="64" t="n">
        <x:v>0</x:v>
      </x:c>
      <x:c r="F2" t="str">
        <x:v>OK</x:v>
      </x:c>
      <x:c r="G2" s="6" t="str">
        <x:v>The production build must use the documented deterministic seed.</x:v>
      </x:c>
    </x:row>
    <x:row r="3">
      <x:c r="A3" s="6" t="str">
        <x:v>Quarter-hour row count</x:v>
      </x:c>
      <x:c r="B3" s="64" t="n">
        <x:v>35136</x:v>
      </x:c>
      <x:c r="C3" t="n">
        <x:v>35136</x:v>
      </x:c>
      <x:c r="D3" s="64" t="n">
        <x:v>0</x:v>
      </x:c>
      <x:c r="E3" s="64" t="n">
        <x:v>0</x:v>
      </x:c>
      <x:c r="F3" t="str">
        <x:v>OK</x:v>
      </x:c>
      <x:c r="G3" s="6" t="str">
        <x:v>Complete leap-year quarter-hour coverage.</x:v>
      </x:c>
    </x:row>
    <x:row r="4">
      <x:c r="A4" s="6" t="str">
        <x:v>Missing cells in model outputs</x:v>
      </x:c>
      <x:c r="B4" s="64" t="n">
        <x:v>0</x:v>
      </x:c>
      <x:c r="C4" t="n">
        <x:v>0</x:v>
      </x:c>
      <x:c r="D4" s="64" t="n">
        <x:v>0</x:v>
      </x:c>
      <x:c r="E4" s="64" t="n">
        <x:v>0</x:v>
      </x:c>
      <x:c r="F4" t="str">
        <x:v>OK</x:v>
      </x:c>
      <x:c r="G4" s="6" t="str">
        <x:v>All final output tables must be complete.</x:v>
      </x:c>
    </x:row>
    <x:row r="5">
      <x:c r="A5" s="6" t="str">
        <x:v>Actual annual energy matches profile biases (MWh)</x:v>
      </x:c>
      <x:c r="B5" s="64" t="n">
        <x:v>43137.99999919</x:v>
      </x:c>
      <x:c r="C5" t="n">
        <x:v>43138</x:v>
      </x:c>
      <x:c r="D5" s="64" t="n">
        <x:v>-8.100032573565841e-7</x:v>
      </x:c>
      <x:c r="E5" s="64" t="n">
        <x:v>0.000001</x:v>
      </x:c>
      <x:c r="F5" t="str">
        <x:v>OK</x:v>
      </x:c>
      <x:c r="G5" s="6" t="str">
        <x:v>Energy-weighted random shocks are centered by profile.</x:v>
      </x:c>
    </x:row>
    <x:row r="6">
      <x:c r="A6" s="6" t="str">
        <x:v>Profile actual energy reconciles to portfolio (MWh)</x:v>
      </x:c>
      <x:c r="B6" s="64" t="n">
        <x:v>8.100032573565841e-7</x:v>
      </x:c>
      <x:c r="C6" t="n">
        <x:v>0</x:v>
      </x:c>
      <x:c r="D6" s="64" t="n">
        <x:v>8.100032573565841e-7</x:v>
      </x:c>
      <x:c r="E6" s="64" t="n">
        <x:v>0.000001</x:v>
      </x:c>
      <x:c r="F6" t="str">
        <x:v>OK</x:v>
      </x:c>
      <x:c r="G6" s="6" t="str">
        <x:v>HB, GB and LB actual energy must sum to portfolio actual energy.</x:v>
      </x:c>
    </x:row>
    <x:row r="7">
      <x:c r="A7" s="6" t="str">
        <x:v>Clipped profile quarter-hours</x:v>
      </x:c>
      <x:c r="B7" s="64" t="n">
        <x:v>0</x:v>
      </x:c>
      <x:c r="C7" t="n">
        <x:v>0</x:v>
      </x:c>
      <x:c r="D7" s="64" t="n">
        <x:v>0</x:v>
      </x:c>
      <x:c r="E7" s="64" t="n">
        <x:v>0</x:v>
      </x:c>
      <x:c r="F7" t="str">
        <x:v>OK</x:v>
      </x:c>
      <x:c r="G7" s="6" t="str">
        <x:v>Selected seed remains inside the configured factor bounds.</x:v>
      </x:c>
    </x:row>
    <x:row r="8">
      <x:c r="A8" s="6" t="str">
        <x:v>Portfolio normalized mean absolute error</x:v>
      </x:c>
      <x:c r="B8" s="64" t="n">
        <x:v>0.019673638020697673</x:v>
      </x:c>
      <x:c r="C8" t="str">
        <x:v>1.5% to 3.0%</x:v>
      </x:c>
      <x:c r="D8" s="64" t="str"/>
      <x:c r="E8" s="64" t="str"/>
      <x:c r="F8" t="str">
        <x:v>OK</x:v>
      </x:c>
      <x:c r="G8" s="6" t="str">
        <x:v>Aggregate forecast error should be visible but plausible.</x:v>
      </x:c>
    </x:row>
    <x:row r="9">
      <x:c r="A9" s="6" t="str">
        <x:v>Observed reBAP source alignment (EUR/MWh)</x:v>
      </x:c>
      <x:c r="B9" s="64" t="n">
        <x:v>0</x:v>
      </x:c>
      <x:c r="C9" t="n">
        <x:v>0</x:v>
      </x:c>
      <x:c r="D9" s="64" t="n">
        <x:v>0</x:v>
      </x:c>
      <x:c r="E9" s="64" t="n">
        <x:v>0</x:v>
      </x:c>
      <x:c r="F9" t="str">
        <x:v>OK</x:v>
      </x:c>
      <x:c r="G9" s="6" t="str">
        <x:v>The backtest must not modify the observed imbalance prices.</x:v>
      </x:c>
    </x:row>
    <x:row r="10">
      <x:c r="A10" s="6" t="str">
        <x:v>Maximum imbalance-volume identity error (MWh)</x:v>
      </x:c>
      <x:c r="B10" s="64" t="n">
        <x:v>4.440892098500626e-16</x:v>
      </x:c>
      <x:c r="C10" t="n">
        <x:v>0</x:v>
      </x:c>
      <x:c r="D10" s="64" t="n">
        <x:v>4.440892098500626e-16</x:v>
      </x:c>
      <x:c r="E10" s="64" t="n">
        <x:v>0.000001</x:v>
      </x:c>
      <x:c r="F10" t="str">
        <x:v>OK</x:v>
      </x:c>
      <x:c r="G10" s="6" t="str">
        <x:v>Imbalance volume equals actual minus forecast schedule.</x:v>
      </x:c>
    </x:row>
    <x:row r="11">
      <x:c r="A11" s="6" t="str">
        <x:v>Maximum reBAP settlement identity error (EUR)</x:v>
      </x:c>
      <x:c r="B11" s="64" t="n">
        <x:v>0.00006327250002868823</x:v>
      </x:c>
      <x:c r="C11" t="n">
        <x:v>0</x:v>
      </x:c>
      <x:c r="D11" s="64" t="n">
        <x:v>0.00006327250002868823</x:v>
      </x:c>
      <x:c r="E11" s="64" t="n">
        <x:v>0.01</x:v>
      </x:c>
      <x:c r="F11" t="str">
        <x:v>OK</x:v>
      </x:c>
      <x:c r="G11" s="6" t="str">
        <x:v>Signed imbalance volume is settled at observed reBAP.</x:v>
      </x:c>
    </x:row>
    <x:row r="12">
      <x:c r="A12" s="6" t="str">
        <x:v>Maximum imbalance-premium identity error (EUR)</x:v>
      </x:c>
      <x:c r="B12" s="64" t="n">
        <x:v>0.00006254250001802575</x:v>
      </x:c>
      <x:c r="C12" t="n">
        <x:v>0</x:v>
      </x:c>
      <x:c r="D12" s="64" t="n">
        <x:v>0.00006254250001802575</x:v>
      </x:c>
      <x:c r="E12" s="64" t="n">
        <x:v>0.01</x:v>
      </x:c>
      <x:c r="F12" t="str">
        <x:v>OK</x:v>
      </x:c>
      <x:c r="G12" s="6" t="str">
        <x:v>Premium isolates reBAP versus Day-Ahead pricing of the deviation.</x:v>
      </x:c>
    </x:row>
    <x:row r="13">
      <x:c r="A13" s="6" t="str">
        <x:v>Maximum final-cost identity error (EUR)</x:v>
      </x:c>
      <x:c r="B13" s="64" t="n">
        <x:v>1.000009142160252e-8</x:v>
      </x:c>
      <x:c r="C13" t="n">
        <x:v>0</x:v>
      </x:c>
      <x:c r="D13" s="64" t="n">
        <x:v>1.000009142160252e-8</x:v>
      </x:c>
      <x:c r="E13" s="64" t="n">
        <x:v>0.01</x:v>
      </x:c>
      <x:c r="F13" t="str">
        <x:v>OK</x:v>
      </x:c>
      <x:c r="G13" s="6" t="str">
        <x:v>Final cost equals forecast procurement plus imbalance settlement.</x:v>
      </x:c>
    </x:row>
    <x:row r="14">
      <x:c r="A14" s="6" t="str">
        <x:v>Maximum annual cost-component error (EUR)</x:v>
      </x:c>
      <x:c r="B14" s="64" t="n">
        <x:v>3.2014213502407074e-10</x:v>
      </x:c>
      <x:c r="C14" t="n">
        <x:v>0</x:v>
      </x:c>
      <x:c r="D14" s="64" t="n">
        <x:v>3.2014213502407074e-10</x:v>
      </x:c>
      <x:c r="E14" s="64" t="n">
        <x:v>0.01</x:v>
      </x:c>
      <x:c r="F14" t="str">
        <x:v>OK</x:v>
      </x:c>
      <x:c r="G14" s="6" t="str">
        <x:v>Annual cost bridge must reconcile for every strategy.</x:v>
      </x:c>
    </x:row>
    <x:row r="15">
      <x:c r="A15" s="6" t="str">
        <x:v>Maximum procurement P&amp;L reconciliation error (EUR)</x:v>
      </x:c>
      <x:c r="B15" s="64" t="n">
        <x:v>0</x:v>
      </x:c>
      <x:c r="C15" t="n">
        <x:v>0</x:v>
      </x:c>
      <x:c r="D15" s="64" t="n">
        <x:v>0</x:v>
      </x:c>
      <x:c r="E15" s="64" t="n">
        <x:v>0.01</x:v>
      </x:c>
      <x:c r="F15" t="str">
        <x:v>OK</x:v>
      </x:c>
      <x:c r="G15" s="6" t="str">
        <x:v>Cost-component lines must sum to final procurement cost.</x:v>
      </x:c>
    </x:row>
    <x:row r="16">
      <x:c r="A16" s="6" t="str">
        <x:v>Maximum monthly-to-annual rollup error (EUR)</x:v>
      </x:c>
      <x:c r="B16" s="64" t="n">
        <x:v>9.778887033462524e-9</x:v>
      </x:c>
      <x:c r="C16" t="n">
        <x:v>0</x:v>
      </x:c>
      <x:c r="D16" s="64" t="n">
        <x:v>9.778887033462524e-9</x:v>
      </x:c>
      <x:c r="E16" s="64" t="n">
        <x:v>0.01</x:v>
      </x:c>
      <x:c r="F16" t="str">
        <x:v>OK</x:v>
      </x:c>
      <x:c r="G16" s="6" t="str">
        <x:v>Twelve monthly costs must sum to each annual result.</x:v>
      </x:c>
    </x:row>
    <x:row r="17">
      <x:c r="A17" s="6" t="str">
        <x:v>Minimum realized hedge saving (EUR)</x:v>
      </x:c>
      <x:c r="B17" s="64" t="n">
        <x:v>55196.6469271</x:v>
      </x:c>
      <x:c r="C17" t="str">
        <x:v>&gt; 0</x:v>
      </x:c>
      <x:c r="D17" s="64" t="str"/>
      <x:c r="E17" s="64" t="str"/>
      <x:c r="F17" t="str">
        <x:v>OK</x:v>
      </x:c>
      <x:c r="G17" s="6" t="str">
        <x:v>Both teaching hedges remain slightly cheaper after imbalance.</x:v>
      </x:c>
    </x:row>
    <x:row r="18">
      <x:c r="A18" s="6" t="str">
        <x:v>Maximum hedge-saving tie error before/after imbalance (EUR)</x:v>
      </x:c>
      <x:c r="B18" s="64" t="n">
        <x:v>0</x:v>
      </x:c>
      <x:c r="C18" t="n">
        <x:v>0</x:v>
      </x:c>
      <x:c r="D18" s="64" t="n">
        <x:v>0</x:v>
      </x:c>
      <x:c r="E18" s="64" t="n">
        <x:v>0.01</x:v>
      </x:c>
      <x:c r="F18" t="str">
        <x:v>OK</x:v>
      </x:c>
      <x:c r="G18" s="6" t="str">
        <x:v>Identical load forecast error must not change hedge savings.</x:v>
      </x:c>
    </x:row>
    <x:row r="19">
      <x:c r="A19" s="6" t="str">
        <x:v>Imbalance premium (EUR/MWh actual)</x:v>
      </x:c>
      <x:c r="B19" s="64" t="n">
        <x:v>0.315017940558904</x:v>
      </x:c>
      <x:c r="C19" t="str">
        <x:v>0.10 to 1.50</x:v>
      </x:c>
      <x:c r="D19" s="64" t="str"/>
      <x:c r="E19" s="64" t="str"/>
      <x:c r="F19" t="str">
        <x:v>OK</x:v>
      </x:c>
      <x:c r="G19" s="6" t="str">
        <x:v>Selected seed gives a moderate positive cost of forecast error.</x:v>
      </x:c>
    </x:row>
    <x:row r="20">
      <x:c r="A20" s="6" t="str">
        <x:v>Maximum hedged monthly volatility versus unhedged</x:v>
      </x:c>
      <x:c r="B20" s="64" t="n">
        <x:v>18.56308745</x:v>
      </x:c>
      <x:c r="C20" t="str">
        <x:v>&lt; 20.153272</x:v>
      </x:c>
      <x:c r="D20" s="64" t="str"/>
      <x:c r="E20" s="64" t="str"/>
      <x:c r="F20" t="str">
        <x:v>OK</x:v>
      </x:c>
      <x:c r="G20" s="6" t="str">
        <x:v>Both hedges should reduce monthly procurement-price variability.</x:v>
      </x:c>
    </x:row>
    <x:row r="21">
      <x:c r="A21" s="6" t="str">
        <x:v>Granular reduction in absolute open DA volume (MWh)</x:v>
      </x:c>
      <x:c r="B21" s="64" t="n">
        <x:v>774.9821458799997</x:v>
      </x:c>
      <x:c r="C21" t="str">
        <x:v>&gt; 0</x:v>
      </x:c>
      <x:c r="D21" s="64" t="str"/>
      <x:c r="E21" s="64" t="str"/>
      <x:c r="F21" t="str">
        <x:v>OK</x:v>
      </x:c>
      <x:c r="G21" s="6" t="str">
        <x:v>Granular products should improve forecast-shape coverage.</x:v>
      </x:c>
    </x:row>
  </x:sheetData>
  <x:conditionalFormatting sqref="F2:F21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6324256ac0434a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4" hidden="0" customWidth="1"/>
    <x:col min="4" max="4" width="74" hidden="0" customWidth="1"/>
    <x:col min="5" max="5" width="72" hidden="0" customWidth="1"/>
  </x:cols>
  <x:sheetData>
    <x:row r="1" ht="32" customHeight="1">
      <x:c r="A1" s="4" t="str">
        <x:v>Item</x:v>
      </x:c>
      <x:c r="B1" s="4" t="str">
        <x:v>Source type</x:v>
      </x:c>
      <x:c r="C1" s="4" t="str">
        <x:v>Source name</x:v>
      </x:c>
      <x:c r="D1" s="4" t="str">
        <x:v>Reference / URL</x:v>
      </x:c>
      <x:c r="E1" s="4" t="str">
        <x:v>Notes</x:v>
      </x:c>
    </x:row>
    <x:row r="2">
      <x:c r="A2" t="str">
        <x:v>Day-Ahead prices</x:v>
      </x:c>
      <x:c r="B2" t="str">
        <x:v>Observed</x:v>
      </x:c>
      <x:c r="C2" t="str">
        <x:v>SMARD / Bundesnetzagentur</x:v>
      </x:c>
      <x:c r="D2" s="6" t="str">
        <x:v>data_pipeline_2024/processed/day_ahead_prices.csv</x:v>
      </x:c>
      <x:c r="E2" s="6" t="str">
        <x:v>Observed German/Luxembourg 2024 Day-Ahead prices.</x:v>
      </x:c>
    </x:row>
    <x:row r="3">
      <x:c r="A3" t="str">
        <x:v>Imbalance prices</x:v>
      </x:c>
      <x:c r="B3" t="str">
        <x:v>Observed</x:v>
      </x:c>
      <x:c r="C3" t="str">
        <x:v>Netztransparenz / German TSOs</x:v>
      </x:c>
      <x:c r="D3" s="6" t="str">
        <x:v>https://www.netztransparenz.de/Regelenergie/Ausgleichsenergiepreis/reBAP</x:v>
      </x:c>
      <x:c r="E3" s="6" t="str">
        <x:v>Quality-assured symmetric 2024 reBAP.</x:v>
      </x:c>
    </x:row>
    <x:row r="4">
      <x:c r="A4" t="str">
        <x:v>Forecast portfolio and hedge</x:v>
      </x:c>
      <x:c r="B4" t="str">
        <x:v>Model output</x:v>
      </x:c>
      <x:c r="C4" t="str">
        <x:v>portfolio_hedge_2024</x:v>
      </x:c>
      <x:c r="D4" s="6" t="str">
        <x:v>portfolio_hedge_2024/processed/hedge_day_ahead_timeseries.csv</x:v>
      </x:c>
      <x:c r="E4" s="6" t="str">
        <x:v>Value-neutral hedge and forecast Day-Ahead schedule.</x:v>
      </x:c>
    </x:row>
    <x:row r="5">
      <x:c r="A5" t="str">
        <x:v>Actual customer load</x:v>
      </x:c>
      <x:c r="B5" t="str">
        <x:v>Synthetic assumption</x:v>
      </x:c>
      <x:c r="C5" t="str">
        <x:v>imbalance_backtest_2024</x:v>
      </x:c>
      <x:c r="D5" s="6" t="str">
        <x:v>inputs/profile_error_assumptions.csv and inputs/simulation_parameters.csv</x:v>
      </x:c>
      <x:c r="E5" s="6" t="str">
        <x:v>Seeded profile-level deviations; no observed price is changed.</x:v>
      </x:c>
    </x:row>
  </x:sheetData>
  <x:pageMargins left="0.7" right="0.7" top="0.75" bottom="0.75" header="0.3" footer="0.3"/>
  <x:tableParts count="1">
    <x:tablePart xmlns:r="http://schemas.openxmlformats.org/officeDocument/2006/relationships" r:id="R9fc525c5ee044f82"/>
  </x:tableParts>
</x:worksheet>
</file>